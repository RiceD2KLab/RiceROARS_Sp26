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tement Audit Results and Nex" sheetId="1" r:id="rId5"/>
    <sheet state="visible" name="Gemini Parameters Results" sheetId="2" r:id="rId6"/>
    <sheet state="visible" name="Gemini Testing March 5 (Section" sheetId="3" r:id="rId7"/>
  </sheets>
  <definedNames/>
  <calcPr/>
</workbook>
</file>

<file path=xl/sharedStrings.xml><?xml version="1.0" encoding="utf-8"?>
<sst xmlns="http://schemas.openxmlformats.org/spreadsheetml/2006/main" count="454" uniqueCount="214">
  <si>
    <t>#</t>
  </si>
  <si>
    <t>Status</t>
  </si>
  <si>
    <t>Key Failure Code(s)</t>
  </si>
  <si>
    <t>Why it Failed (or Passed)</t>
  </si>
  <si>
    <t xml:space="preserve">**** Give Gemini the PLOs without the parameters and see what gemini thinks is passing or not and why it might be passing (what SHOULD the parameters be?) </t>
  </si>
  <si>
    <t>Fail</t>
  </si>
  <si>
    <t>D, M</t>
  </si>
  <si>
    <t>Focuses on multiple achievements and uses subjective language ("effectively").</t>
  </si>
  <si>
    <t>P, V</t>
  </si>
  <si>
    <t>"Have developed" describes a process that already happened, not a result.</t>
  </si>
  <si>
    <t>V</t>
  </si>
  <si>
    <t>"Understanding" is a non-measurable internal state.</t>
  </si>
  <si>
    <t>*** build metric by section, regression model for final score</t>
  </si>
  <si>
    <t>Tries to do two things at once; "skilled producers" is not specific.</t>
  </si>
  <si>
    <t>casuality between sections</t>
  </si>
  <si>
    <t>Pass</t>
  </si>
  <si>
    <t>—</t>
  </si>
  <si>
    <t>Focuses on a result (conducting research) using a clear action verb.</t>
  </si>
  <si>
    <t>Focuses on a single achievement (solving a problem).</t>
  </si>
  <si>
    <t>V, M</t>
  </si>
  <si>
    <t>"Solid foundation" is an abstract concept, not a measurable result.</t>
  </si>
  <si>
    <t>Clear application of knowledge to a field.</t>
  </si>
  <si>
    <t>Measurable and focuses on a specific outcome (communication).</t>
  </si>
  <si>
    <t>Simple, single focus on the result of independent research.</t>
  </si>
  <si>
    <t>D</t>
  </si>
  <si>
    <t>Double-Barreled: It requires identifying, defining, AND conducting.</t>
  </si>
  <si>
    <t>P</t>
  </si>
  <si>
    <t>Describes the "action" of leading/communicating rather than the "result."</t>
  </si>
  <si>
    <t>Excellent focus on the result (solving problems).</t>
  </si>
  <si>
    <t>V, D</t>
  </si>
  <si>
    <t>Uses "Learned" (non-action) and combines multiple different tasks.</t>
  </si>
  <si>
    <t>V, P</t>
  </si>
  <si>
    <t>"Learn" is a process of the program, not a result of the student.</t>
  </si>
  <si>
    <t>Focuses on the "process" of executing steps.</t>
  </si>
  <si>
    <t>"Exhibit a solid understanding" is not an action verb.</t>
  </si>
  <si>
    <t>Double-Barreled: Combines "analyze" and "solve."</t>
  </si>
  <si>
    <t>Focuses on the "action" of learning outside a course.</t>
  </si>
  <si>
    <t>"Gain an understanding" is the most common verb violation.</t>
  </si>
  <si>
    <t>P, D</t>
  </si>
  <si>
    <t>Focuses on "developing" (process) and lists multiple skills.</t>
  </si>
  <si>
    <t>Perfect example: Single achievement, action verb, measurable.</t>
  </si>
  <si>
    <t>Clear result-based analysis.</t>
  </si>
  <si>
    <t>Ends with "to understand," which is an unmeasurable goal.</t>
  </si>
  <si>
    <t>Single focus on applying skills to a project.</t>
  </si>
  <si>
    <t>Clear application of knowledge in specific settings.</t>
  </si>
  <si>
    <t>Pass Rate</t>
  </si>
  <si>
    <t>[D] Double-Barreled</t>
  </si>
  <si>
    <t>[P] Process over Result</t>
  </si>
  <si>
    <t>[V] Weak Verb</t>
  </si>
  <si>
    <t>[L] Learner Perspective</t>
  </si>
  <si>
    <t>[M] Measurability</t>
  </si>
  <si>
    <t>Focus on a result to be achieved rather than an action (program, process, etc.) to be</t>
  </si>
  <si>
    <t>implemented.</t>
  </si>
  <si>
    <t>• Write PLOs/outcome statements using action verbs (see Bloom’s Taxonomy discussion</t>
  </si>
  <si>
    <t>below).</t>
  </si>
  <si>
    <t>• Programs should write PLOs from the learner perspective (administrative units should focus</t>
  </si>
  <si>
    <t>on specific, measurable operational goals/objectives in writing outcome statements).</t>
  </si>
  <si>
    <t>• Write PLOs/outcome statements in specific, measurable terms.</t>
  </si>
  <si>
    <t>• Strive to focus on a single achievement/accomplishment in the PLO/outcome statement</t>
  </si>
  <si>
    <t>rather than multiple (to more clearly align measures)</t>
  </si>
  <si>
    <t>ID</t>
  </si>
  <si>
    <t>PLO_Text</t>
  </si>
  <si>
    <t>Reason</t>
  </si>
  <si>
    <t>Score</t>
  </si>
  <si>
    <t>Apply research and analytical skills to original research questions and case studies to produce innovative approaches to anthropological knowledge and intervene effectively in both disciplinary discussions and wider sociocultural debates. </t>
  </si>
  <si>
    <t>Meets all criteria</t>
  </si>
  <si>
    <t>Have developed the skills to pursue various professional endeavors within and outside the academy successfully.</t>
  </si>
  <si>
    <t>Low-level verbs (Passive), Vague object of study, No innovation/creation requirement</t>
  </si>
  <si>
    <t>Demonstrate a comprehensive understanding of the history of the discipline as well as anthropological theory and practice.</t>
  </si>
  <si>
    <t>Low-level verbs (Passive), Missing methodology anchor, Vague object of study, No innovation/creation requirement, Lacks external validity/context</t>
  </si>
  <si>
    <t>Utilize the key methodological, theoretical, and analytical skills at the heart of the discipline and become skilled producers of anthropological knowledge, able to critique actively and reconfigure canonical approaches to social science. </t>
  </si>
  <si>
    <t>Vague object of study, Lacks external validity/context</t>
  </si>
  <si>
    <t>Conduct responsible, ethical research with interlocutors and consultants in a world of increasingly complex interplay between small-scale and large-scale concerns and commitments. </t>
  </si>
  <si>
    <t>Missing methodology anchor, No innovation/creation requirement, Lacks external validity/context</t>
  </si>
  <si>
    <t>Integrate knowledge from different sources to solve a defined bioengineering problem.</t>
  </si>
  <si>
    <t>Missing methodology anchor, Vague object of study, Lacks external validity/context</t>
  </si>
  <si>
    <t>Demonstrate a solid foundation in the fundamentals of chemical engineering in four areas: applied mathematics, kinetics and reaction engineering, thermodynamics and transport phenomena.</t>
  </si>
  <si>
    <t>Apply advanced knowledge from several major areas of modern chemical engineering.</t>
  </si>
  <si>
    <t>Missing methodology anchor, Vague object of study, No innovation/creation requirement, Lacks external validity/context</t>
  </si>
  <si>
    <t>Demonstrate professional written and oral communication skills.</t>
  </si>
  <si>
    <t>Conduct independent research by working on research projects, individually and in interdisciplinary groups.</t>
  </si>
  <si>
    <t>Missing methodology anchor, No innovation/creation requirement</t>
  </si>
  <si>
    <t>Identify and define relevant research topics in Electrical and Computer Engineering and conduct independent research with results that advance the state of the art in the field.</t>
  </si>
  <si>
    <t>Lead research and design groups by communicating innovative ideas effectively.</t>
  </si>
  <si>
    <t>Low-level verbs (Passive), Missing methodology anchor, Vague object of study, Lacks external validity/context</t>
  </si>
  <si>
    <t>Solve real-world problems by integrating knowledge gained in courses and through independent study.</t>
  </si>
  <si>
    <t>Missing methodology anchor, Lacks external validity/context</t>
  </si>
  <si>
    <t>Learned various statistical and econometric skills, and used statistical software to analyze economic data, interpret and communicate statistical results, both orally and in writing.</t>
  </si>
  <si>
    <t>No innovation/creation requirement, Lacks external validity/context</t>
  </si>
  <si>
    <t>Learn various mathematical skills, including the elements of multiple variable calculus, linear algebra and optimization techniques, and other mathematical methods utilized in technical economic analyses.</t>
  </si>
  <si>
    <t>Vague object of study, No innovation/creation requirement, Lacks external validity/context</t>
  </si>
  <si>
    <t>Execute the steps of the entrepreneurial process.</t>
  </si>
  <si>
    <t>Exhibit a solid understanding of historical methodologies and research skills, including the careful and creative use of primary and secondary sources that are read critically and weighed carefully as historical evidence</t>
  </si>
  <si>
    <t>Low-level verbs (Passive), Vague object of study, No innovation/creation requirement, Lacks external validity/context</t>
  </si>
  <si>
    <t>Apply abstract structures from algebra, analysis, and topology to analyze and solve both concrete problems and conceptual questions.</t>
  </si>
  <si>
    <t>Lacks external validity/context</t>
  </si>
  <si>
    <t>Learn fundamental mathematics independently, outside the structure of a regular course.</t>
  </si>
  <si>
    <t>Low-level verbs (Passive), Vague object of study, Lacks external validity/context</t>
  </si>
  <si>
    <t>Gain an understanding of Western moral traditions and ethical philosophy as they relate to military leadership and the conduct of warfare, including Aristotle, Bentham, Mill, Kant, and Aquinas.</t>
  </si>
  <si>
    <t>Develop critical analysis, writing, and verbal skills. Demonstrate practical application of these skills through experiential learning, case study analysis, and Socratic discussion.</t>
  </si>
  <si>
    <t>Translate fundamental principles of human nutrition to practical application in exercise and sport.</t>
  </si>
  <si>
    <t>No innovation/creation requirement</t>
  </si>
  <si>
    <t>Analyze sports science and exercise physiology research, including physical activity research, through identification and critical evaluation of relevant scientific literature.</t>
  </si>
  <si>
    <t>Apply sociological knowledge and training to understand theory and policy oriented around issues of human well-being in the US and globally, including how to understand the relationship between inequality and factors like race, class, gender, and education.</t>
  </si>
  <si>
    <t>Vague object of study, No innovation/creation requirement</t>
  </si>
  <si>
    <t>Apply methodological, theoretical, and research skills to carry out empirical research projects.</t>
  </si>
  <si>
    <t>Apply theoretical and practical knowledge of psychological factors in sport, exercise, rehabilitation, and performance settings.</t>
  </si>
  <si>
    <t>Passing = scores &gt; 3</t>
  </si>
  <si>
    <t>Gemini Made Rubric:</t>
  </si>
  <si>
    <t>Cognitive Ceiling: Is the verb high-level (Apply/Analyze/Create)?</t>
  </si>
  <si>
    <t>Methodological Anchor: Does it name the specific "tools" used?</t>
  </si>
  <si>
    <t>Evidence/Object: Is it clear what they are working on?</t>
  </si>
  <si>
    <t>Value-Add: Does it require an original contribution or "innovation"?</t>
  </si>
  <si>
    <t>External Validity: Does it connect to a professional or social context?</t>
  </si>
  <si>
    <t>Lack of Agency was the biggest issue with PLOs, makes the information learn in the programs seem very insular focused. How are students using the knowledge gained from their degree outside of the degree context</t>
  </si>
  <si>
    <t>*** PROMPT:</t>
  </si>
  <si>
    <r>
      <rPr>
        <rFont val="&quot;Google Sans Flex&quot;, &quot;Google Sans&quot;, &quot;Helvetica Neue&quot;, sans-serif"/>
        <color rgb="FF1F1F1F"/>
        <sz val="12.0"/>
        <u/>
      </rPr>
      <t>[This was given with the RICE OUTCOMES ASSESSMENT REPORTING HANDBOOK_ January 2026_final PDF]</t>
    </r>
    <r>
      <rPr>
        <rFont val="&quot;Google Sans Flex&quot;, &quot;Google Sans&quot;, &quot;Helvetica Neue&quot;, sans-serif"/>
        <color rgb="FF1F1F1F"/>
        <sz val="12.0"/>
      </rPr>
      <t xml:space="preserve"> All degree programs at Rice University have both Program Learning Objectives (PLOs) and submit yearly reports called Rice Outcome Assessment Reports (ROARs) that assess the effectiveness of students meeting these program learning objectives. Evaluation of ROAR submissions for quality of content is a difficult and time-intensive task that requires expert human review. The goal of this project is to devise an automated system using natural language processing and multi-modal evaluation of quantitative data to perform initial review of ROAR submissions, evaluate their quality, and flag problematic submissions for closer human attention.</t>
    </r>
  </si>
  <si>
    <t>The challenge is not simply identifying superficial or performative filling-in of boxes. Rather, the objective is to assess whether ROAR submission content semantically and conceptually aligns with the stated PLOs. This requires deep understanding of educational assessment principles, ability to evaluate alignment between stated learning outcomes and evidence of student achievement, and recognition of meaningful versus superficial reporting. Current manual review is resource-intensive and can be inconsistent, creating a bottleneck in the assessment process.</t>
  </si>
  <si>
    <t>This PDF I gave you explains the Rice Outcomes Assessment Reporting (ROAR). Your responsibilities will include the following:</t>
  </si>
  <si>
    <t>Predicted</t>
  </si>
  <si>
    <t>Actual</t>
  </si>
  <si>
    <t>- I will send you individual ROARs of different programs at Rice.</t>
  </si>
  <si>
    <t>Total Passed ROARs</t>
  </si>
  <si>
    <t>- You will look through each section of the ROAR.</t>
  </si>
  <si>
    <t>Total Failed ROARs</t>
  </si>
  <si>
    <t>- You will then grade each section of the ROAR, on a pass/fail basis.</t>
  </si>
  <si>
    <t>Total Passed ROAR Sections</t>
  </si>
  <si>
    <t>N/A</t>
  </si>
  <si>
    <t>- Based on your grades for each section, you will create a comprehensive final grade of the ROAR to show whether it passes or fails.</t>
  </si>
  <si>
    <t>Total Failed ROAR Sections</t>
  </si>
  <si>
    <t>- Whether it passes or fails, you will explain why you came to your conclusion. Do this for each section</t>
  </si>
  <si>
    <t>- For your final output, give me a table that has the following elements: 
1) whether the overall ROAR passed or failed 
2) a column for each section detailing whether each passed or failed 
3) another column for each section that gives some explanation for the pass/fail for each</t>
  </si>
  <si>
    <t>Program</t>
  </si>
  <si>
    <t>Section</t>
  </si>
  <si>
    <t>Grade</t>
  </si>
  <si>
    <t>Explanation</t>
  </si>
  <si>
    <t>ENG - Bioengineering (BSBE)</t>
  </si>
  <si>
    <t>Program Learning Outcomes</t>
  </si>
  <si>
    <t>PASS</t>
  </si>
  <si>
    <t>The PLOs are clearly stated, active, and outcome-oriented (e.g., "identify, formulate, and solve complex engineering problems"). They are supported by specific, measurable "performance indicators" (a-g).</t>
  </si>
  <si>
    <t>Assessment Methodology</t>
  </si>
  <si>
    <t>The program utilizes multiple Direct Measures (PBL reports, exams, homework) across 12 different courses rather than relying on final course grades. A standardized 4-point scale is used for evaluation.</t>
  </si>
  <si>
    <t>Assessment Data &amp; Population</t>
  </si>
  <si>
    <t>The assessment identifies a broad population across core and elective courses (e.g., BIOE 252, 322, 451) and provides specific percentage distributions of students meeting each performance level.</t>
  </si>
  <si>
    <t>Analysis of Results</t>
  </si>
  <si>
    <t>Results are evaluated against a dual benchmark: 70% Good/Excellent and 90% Acceptable or above. The report confirms that these standards were fully achieved across all performance indicators.</t>
  </si>
  <si>
    <t>Interpretation &amp; Dissemination</t>
  </si>
  <si>
    <t>Results are reviewed by a faculty Evaluation Team. The findings are disseminated to the Department Chair and ABET Team Lead, who actively coordinate with individual faculty to implement changes.</t>
  </si>
  <si>
    <t>Proposed Improvements</t>
  </si>
  <si>
    <t>The report lists six distinct, data-driven improvements. Follow-up documentation proves these were successfully implemented (e.g., adding multi-step problems to BIOE 372 and scaffolding in BIOE 322).</t>
  </si>
  <si>
    <t>NS - Applied Physics (BS)</t>
  </si>
  <si>
    <t>The outcomes themselves are "Active" and clearly state the knowledge areas (Mechanics, E&amp;M, etc.) students must master.</t>
  </si>
  <si>
    <t>FAIL</t>
  </si>
  <si>
    <t>The methodology relies almost entirely on "exam performance" and "homework averages". The Handbook requires direct measures mapped to specific skills via rubrics, rather than cumulative course scores which include points for participation or effort.</t>
  </si>
  <si>
    <t>Unlike the Bioengineering report, this report lacks specific "n" counts for students in several sections and does not show the distribution of student achievement across different mastery levels.</t>
  </si>
  <si>
    <t>The "Standard for Achievement" is set too low (40% correct for proficiency). This does not align with Rice's mission of excellence. Furthermore, results are presented as narrative summaries rather than analyzed data tables.</t>
  </si>
  <si>
    <t>While the Undergraduate Program Committee (UPC) reviewed the results, there is no evidence of how this information was shared with faculty to drive curriculum changes.</t>
  </si>
  <si>
    <t>The "Improvement Plan" is superficial, often stating "no changes needed" or "continue to monitor". This is precisely the "performative filling-in of boxes" the challenge aims to identify.</t>
  </si>
  <si>
    <t>SS - Anthropology (BA)</t>
  </si>
  <si>
    <t>Outcomes are intellectually rigorous and focus on the "changing understanding" of the discipline rather than rote memorization.</t>
  </si>
  <si>
    <t>The use of a Capstone Rubric (scale 0-3) is a "Best Practice" according to the ROAR Handbook. It moves beyond course grades to measure specific skill mastery.</t>
  </si>
  <si>
    <t>The report identifies the specific student population (all graduating seniors in ANTH 495 or Honors Thesis) and provides clear percentage-based results.</t>
  </si>
  <si>
    <t>The program analyzed the data and found that while most students reached "Mastery," there were nuances in how they synthesized historical debates vs. modern applications.</t>
  </si>
  <si>
    <t>Results are reviewed by the Undergraduate Curriculum Committee. There is clear evidence of faculty collaboration in refining the assessment tools.</t>
  </si>
  <si>
    <t>Instead of "no changes," the program proposed refining the rubric itself to better capture the "Global/Local" nexus, showing they are evaluating the quality of their own assessment.</t>
  </si>
  <si>
    <t>Economics (Ph.D.)</t>
  </si>
  <si>
    <t>The outcomes are high-level and appropriate for a doctoral program, focusing on independent research and the development of computational/econometric tools.</t>
  </si>
  <si>
    <t>The program relies on "Math Camp" and "Course Grades" for PLO 1. According to the Handbook, direct assessment must use rubrics applied to specific work products, not cumulative course grades.</t>
  </si>
  <si>
    <t>The report lacks specific numbers ($n=$) for the student cohorts in PLO 2 and PLO 4. It uses vague language like "the majority of the cohort" or "all students" without providing the underlying data.</t>
  </si>
  <si>
    <t>There is no comparison against a "Standard for Achievement" (e.g., "80% will score a 3 or higher"). The report confirms students passed their requirements but does not analyze the quality of the learning.</t>
  </si>
  <si>
    <t>There is no mention of a committee or faculty group reviewing these specific findings to discuss program-wide trends or pedagogical changes.</t>
  </si>
  <si>
    <t>For PLO 2 and PLO 4, the report states "We are satisfied with these results and do not plan to make any changes". The Handbook views this as a failure to engage in the "Continuous Improvement" cycle.</t>
  </si>
  <si>
    <t>BUSI - Business Administration (MBA)</t>
  </si>
  <si>
    <t>Outcomes are comprehensive and aligned with AACSB accreditation standards, covering technical knowledge, critical thinking, and leadership.</t>
  </si>
  <si>
    <t>Uses Direct Measures (exam rubrics and capstone projects). Critically, it maps specific exam questions to PLO components rather than using a single final grade, which is a "Best Practice".</t>
  </si>
  <si>
    <t>Provides a clear breakdown of the massive population (hundreds of students across various MBA formats) and presents the data in a way that allows for comparison between modalities.</t>
  </si>
  <si>
    <t>The report includes a nuanced analysis of where students struggled, noting for example that while the 80% target was met, certain quantitative sub-sections in Finance scored lower than others.</t>
  </si>
  <si>
    <t>Results are reviewed by the Senior Associate Dean and the Curriculum Committee. There is evidence of "closing the loop" by sharing modality-specific findings with online vs. on-campus instructors.</t>
  </si>
  <si>
    <t>The report identifies specific curricular enhancements, such as "integrating more data analytics cases into the core marketing curriculum" to address identified weaknesses.</t>
  </si>
  <si>
    <t>ARCH - Architectural Studies (BA)</t>
  </si>
  <si>
    <t>Outcomes are well-defined and align with National Architecture Accreditation Board (NAAB) standards, focusing on critical thinking, representation, and integration.</t>
  </si>
  <si>
    <t>The program uses highly appropriate Direct Measures, including research papers and design projects evaluated by external reviewers. This provides a more objective "multi-modal" evaluation than internal grading alone.</t>
  </si>
  <si>
    <t>The report identifies specific student counts (e.g., $n=29$ for ARCH 201) and provides a clear percentage distribution of performance across the rubric's four levels.</t>
  </si>
  <si>
    <t>Results are systematically compared against a two-tier standard: a 90% "meets expectations" threshold and a 20-30% "excellence" target . The program correctly identifies when targets are exceeded.</t>
  </si>
  <si>
    <t>Results are reviewed by the History and Theory Curriculum Committee and the Dean. The report notes that faculty "conferred at the end of the semester" to analyze the data.</t>
  </si>
  <si>
    <t>While some sections noted "no changes needed" due to high performance, other sections showed active improvement by developing "more formal guidelines" for faculty to ensure conceptual alignment across different course sections.</t>
  </si>
  <si>
    <t>CS - Education (MAT)</t>
  </si>
  <si>
    <t>Outcomes are "Active" and highly relevant to professional practice, such as "fostering culturally responsive pedagogy" or "demonstrating mastery of liberal arts methods".</t>
  </si>
  <si>
    <t>The MAT program uses highly specific, state-aligned rubrics (edTPA and PPR) . The MLS program uses a consistent 4-point scale (Exemplary to Unacceptable) for its capstone projects .</t>
  </si>
  <si>
    <t>Both programs provide clear "n" counts and percentage distributions. The MAT program even analyzes sub-sets of students, such as Charles Butt Scholars, to get deeper insights into program success.</t>
  </si>
  <si>
    <t>The programs do not shy away from "Partially Achieved" results. They analyzed student surveys to find that while teaching was strong, students felt unclear on professional ethics/dress codes .</t>
  </si>
  <si>
    <t>Results are shared with the Associate Dean and program directors. In MLS, the Director’s new role as an Adjunct Lecturer in the capstone ensures "greater program level involvement" .</t>
  </si>
  <si>
    <t>The MAT program implemented three major changes: editing the Student Handbook for ethics, moving edTPA tasks to the beginning of the program, and integrating edTPA into class syllabi .</t>
  </si>
  <si>
    <t>SMGT - Sport Management (BA)</t>
  </si>
  <si>
    <t>The outcomes are rigorous and specific to the concentration, focusing on "evaluating and communicating theories" and "legal reasoning" rather than just basic knowledge.</t>
  </si>
  <si>
    <t>The program uses Direct Measures including exam scoring rubrics, oral debate rubrics, and negotiation/mediation specific rubrics. It avoids the "grade trap" by using rubric-based scoring for specific skills.</t>
  </si>
  <si>
    <t>While specific "n" counts are not in these snippets, the report specifies the courses (SMGT 365, 464, 465) and types of students (Sport Law concentration) being assessed.</t>
  </si>
  <si>
    <t>The analysis is exceptionally honest. It identifies that students struggle with time constraints and the transition to analytical thinking. It also notes difficulties in managing active debates to provide "in-the-moment feedback".</t>
  </si>
  <si>
    <t>The report shows the instructor of record is actively interpreting the data to identify bottlenecks in student learning, particularly regarding "legal research and reasoning".</t>
  </si>
  <si>
    <t>The improvements are highly actionable: reducing the number of questions to allow more time for deep analysis, adding a TA to assist with debate feedback, and introducing collaborative negotiation scenarios.</t>
  </si>
  <si>
    <t>Music (Artist Diploma - AD)</t>
  </si>
  <si>
    <t>The PLOs correctly focus on "technical mastery" and "musical expertise" necessary for a significant professional career.</t>
  </si>
  <si>
    <t>Reliance on "highest professional standards" is too subjective for a ROAR. The handbook requires a structured rubric (e.g., scoring 1-4 on specific criteria like intonation or phrasing) rather than just faculty "feedback".</t>
  </si>
  <si>
    <t>The report does not provide the number of students ($n$) assessed or a distribution of their scores. It provides a narrative conclusion without the underlying data to support it.</t>
  </si>
  <si>
    <t>States that standards are "set collectively" but does not show how the cohort performed against those standards in the current academic year.</t>
  </si>
  <si>
    <t>Evidence exists that the "Committee on Instruction" and department chairs review performance, showing a faculty-led oversight process.</t>
  </si>
  <si>
    <t>Stating "no improvement plan is needed" is a common "performative" error. The program should identify ways to refine the assessment tool or enhance specific technical training based on the data.</t>
  </si>
  <si>
    <t>Music (Master of Music - MM)</t>
  </si>
  <si>
    <t>PLOs effectively cover both "Performance Mastery" and "Extra-Musical Career Skills" (e.g., entrepreneurship, professional development).</t>
  </si>
  <si>
    <t>For PLO 2, the program relies on a "review of peer institutions" to validate its curriculum rather than assessing actual student work products within the program.</t>
  </si>
  <si>
    <t>No quantitative data is provided. There is no mention of how many MM students completed the Career and Skills courses or their level of proficiency.</t>
  </si>
  <si>
    <t>The conclusion "we are successfully achieving the stated objective" is anecdotal. A passing ROAR must cite the percentage of students meeting the "Standard for Achievement."</t>
  </si>
  <si>
    <t>The results are disseminated to the Assistant Dean and Faculty, meeting the requirement for collaborative review.</t>
  </si>
  <si>
    <t>The plan to hire an Associate Dean is an administrative change, not a pedagogical improvement derived from student performance data.</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</si>
</sst>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color theme="1"/>
      <name val="Arial"/>
      <scheme val="minor"/>
    </font>
    <font>
      <color theme="1"/>
      <name val="Arial"/>
    </font>
    <font>
      <color rgb="FF222222"/>
      <name val="&quot;Helvetica Neue&quot;"/>
    </font>
    <font>
      <b/>
      <color theme="1"/>
      <name val="Arial"/>
      <scheme val="minor"/>
    </font>
    <font>
      <b/>
      <i/>
      <color theme="1"/>
      <name val="Arial"/>
      <scheme val="minor"/>
    </font>
    <font>
      <b/>
      <sz val="12.0"/>
      <color rgb="FFFF0000"/>
      <name val="&quot;Google Sans Flex&quot;"/>
    </font>
    <font>
      <sz val="12.0"/>
      <color rgb="FF1F1F1F"/>
      <name val="&quot;Google Sans Flex&quot;"/>
    </font>
    <font>
      <b/>
      <color rgb="FF1F1F1F"/>
      <name val="&quot;Google Sans Text&quot;"/>
    </font>
    <font>
      <color rgb="FF1F1F1F"/>
      <name val="&quot;Google Sans Text&quot;"/>
    </font>
    <font>
      <color rgb="FFFFFFFF"/>
      <name val="Arial"/>
      <scheme val="minor"/>
    </font>
    <font>
      <color rgb="FFFFFFFF"/>
      <name val="&quot;Google Sans Text&quot;"/>
    </font>
  </fonts>
  <fills count="5">
    <fill>
      <patternFill patternType="none"/>
    </fill>
    <fill>
      <patternFill patternType="lightGray"/>
    </fill>
    <fill>
      <patternFill patternType="solid">
        <fgColor rgb="FFFFFFFF"/>
        <bgColor rgb="FFFFFFFF"/>
      </patternFill>
    </fill>
    <fill>
      <patternFill patternType="solid">
        <fgColor rgb="FF00FF00"/>
        <bgColor rgb="FF00FF00"/>
      </patternFill>
    </fill>
    <fill>
      <patternFill patternType="solid">
        <fgColor rgb="FFFF0000"/>
        <bgColor rgb="FFFF0000"/>
      </patternFill>
    </fill>
  </fills>
  <borders count="2">
    <border/>
    <border>
      <bottom style="medium">
        <color rgb="FF000000"/>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0" fontId="1" numFmtId="0" xfId="0" applyAlignment="1" applyFont="1">
      <alignment readingOrder="0"/>
    </xf>
    <xf borderId="0" fillId="0" fontId="1" numFmtId="10" xfId="0" applyFont="1" applyNumberFormat="1"/>
    <xf borderId="0" fillId="0" fontId="2" numFmtId="0" xfId="0" applyAlignment="1" applyFont="1">
      <alignment vertical="bottom"/>
    </xf>
    <xf borderId="0" fillId="2" fontId="3" numFmtId="0" xfId="0" applyAlignment="1" applyFill="1" applyFont="1">
      <alignment readingOrder="0"/>
    </xf>
    <xf borderId="0" fillId="0" fontId="4" numFmtId="0" xfId="0" applyAlignment="1" applyFont="1">
      <alignment readingOrder="0"/>
    </xf>
    <xf borderId="0" fillId="0" fontId="5" numFmtId="0" xfId="0" applyAlignment="1" applyFont="1">
      <alignment readingOrder="0"/>
    </xf>
    <xf borderId="0" fillId="2" fontId="6" numFmtId="0" xfId="0" applyAlignment="1" applyFont="1">
      <alignment readingOrder="0" shrinkToFit="0" wrapText="1"/>
    </xf>
    <xf borderId="0" fillId="2" fontId="7" numFmtId="0" xfId="0" applyAlignment="1" applyFont="1">
      <alignment readingOrder="0" shrinkToFit="0" wrapText="1"/>
    </xf>
    <xf borderId="0" fillId="2" fontId="7" numFmtId="0" xfId="0" applyFont="1"/>
    <xf borderId="0" fillId="0" fontId="4" numFmtId="0" xfId="0" applyAlignment="1" applyFont="1">
      <alignment horizontal="right" readingOrder="0"/>
    </xf>
    <xf borderId="1" fillId="0" fontId="4" numFmtId="0" xfId="0" applyAlignment="1" applyBorder="1" applyFont="1">
      <alignment readingOrder="0"/>
    </xf>
    <xf borderId="1" fillId="0" fontId="8" numFmtId="0" xfId="0" applyAlignment="1" applyBorder="1" applyFont="1">
      <alignment readingOrder="0"/>
    </xf>
    <xf borderId="0" fillId="3" fontId="1" numFmtId="0" xfId="0" applyAlignment="1" applyFill="1" applyFont="1">
      <alignment readingOrder="0"/>
    </xf>
    <xf borderId="0" fillId="0" fontId="9" numFmtId="0" xfId="0" applyAlignment="1" applyFont="1">
      <alignment readingOrder="0"/>
    </xf>
    <xf borderId="0" fillId="3" fontId="9" numFmtId="0" xfId="0" applyAlignment="1" applyFont="1">
      <alignment readingOrder="0"/>
    </xf>
    <xf borderId="1" fillId="0" fontId="1" numFmtId="0" xfId="0" applyAlignment="1" applyBorder="1" applyFont="1">
      <alignment readingOrder="0"/>
    </xf>
    <xf borderId="1" fillId="0" fontId="9" numFmtId="0" xfId="0" applyAlignment="1" applyBorder="1" applyFont="1">
      <alignment readingOrder="0"/>
    </xf>
    <xf borderId="1" fillId="3" fontId="9" numFmtId="0" xfId="0" applyAlignment="1" applyBorder="1" applyFont="1">
      <alignment readingOrder="0"/>
    </xf>
    <xf borderId="1" fillId="0" fontId="1" numFmtId="0" xfId="0" applyBorder="1" applyFont="1"/>
    <xf borderId="0" fillId="4" fontId="10" numFmtId="0" xfId="0" applyAlignment="1" applyFill="1" applyFont="1">
      <alignment readingOrder="0"/>
    </xf>
    <xf borderId="0" fillId="4" fontId="11" numFmtId="0" xfId="0" applyAlignment="1" applyFont="1">
      <alignment readingOrder="0"/>
    </xf>
    <xf borderId="1" fillId="4" fontId="11" numFmtId="0" xfId="0" applyAlignment="1" applyBorder="1" applyFont="1">
      <alignment readingOrder="0"/>
    </xf>
  </cellXfs>
  <cellStyles count="1">
    <cellStyle xfId="0" name="Normal" builtinId="0"/>
  </cellStyles>
  <dxfs count="3">
    <dxf>
      <font/>
      <fill>
        <patternFill patternType="solid">
          <fgColor rgb="FFB7E1CD"/>
          <bgColor rgb="FFB7E1CD"/>
        </patternFill>
      </fill>
      <border/>
    </dxf>
    <dxf>
      <font/>
      <fill>
        <patternFill patternType="solid">
          <fgColor rgb="FFF4C7C3"/>
          <bgColor rgb="FFF4C7C3"/>
        </patternFill>
      </fill>
      <border/>
    </dxf>
    <dxf>
      <font/>
      <fill>
        <patternFill patternType="solid">
          <fgColor rgb="FFE06666"/>
          <bgColor rgb="FFE06666"/>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7.63"/>
    <col customWidth="1" min="4" max="4" width="19.63"/>
    <col customWidth="1" min="5" max="5" width="27.63"/>
  </cols>
  <sheetData>
    <row r="1">
      <c r="A1" s="1" t="s">
        <v>0</v>
      </c>
      <c r="B1" s="1" t="s">
        <v>1</v>
      </c>
      <c r="C1" s="1" t="s">
        <v>2</v>
      </c>
      <c r="D1" s="1" t="s">
        <v>3</v>
      </c>
      <c r="H1" s="1" t="s">
        <v>4</v>
      </c>
    </row>
    <row r="2">
      <c r="A2" s="1">
        <v>1.0</v>
      </c>
      <c r="B2" s="1" t="s">
        <v>5</v>
      </c>
      <c r="C2" s="1" t="s">
        <v>6</v>
      </c>
      <c r="D2" s="1" t="s">
        <v>7</v>
      </c>
    </row>
    <row r="3">
      <c r="A3" s="1">
        <v>2.0</v>
      </c>
      <c r="B3" s="1" t="s">
        <v>5</v>
      </c>
      <c r="C3" s="1" t="s">
        <v>8</v>
      </c>
      <c r="D3" s="1" t="s">
        <v>9</v>
      </c>
    </row>
    <row r="4">
      <c r="A4" s="1">
        <v>3.0</v>
      </c>
      <c r="B4" s="1" t="s">
        <v>5</v>
      </c>
      <c r="C4" s="1" t="s">
        <v>10</v>
      </c>
      <c r="D4" s="1" t="s">
        <v>11</v>
      </c>
      <c r="H4" s="1" t="s">
        <v>12</v>
      </c>
    </row>
    <row r="5">
      <c r="A5" s="1">
        <v>4.0</v>
      </c>
      <c r="B5" s="1" t="s">
        <v>5</v>
      </c>
      <c r="C5" s="1" t="s">
        <v>6</v>
      </c>
      <c r="D5" s="1" t="s">
        <v>13</v>
      </c>
      <c r="H5" s="1" t="s">
        <v>14</v>
      </c>
    </row>
    <row r="6">
      <c r="A6" s="1">
        <v>5.0</v>
      </c>
      <c r="B6" s="1" t="s">
        <v>15</v>
      </c>
      <c r="C6" s="1" t="s">
        <v>16</v>
      </c>
      <c r="D6" s="1" t="s">
        <v>17</v>
      </c>
      <c r="H6" s="1"/>
    </row>
    <row r="7">
      <c r="A7" s="1">
        <v>6.0</v>
      </c>
      <c r="B7" s="1" t="s">
        <v>15</v>
      </c>
      <c r="C7" s="1" t="s">
        <v>16</v>
      </c>
      <c r="D7" s="1" t="s">
        <v>18</v>
      </c>
    </row>
    <row r="8">
      <c r="A8" s="1">
        <v>7.0</v>
      </c>
      <c r="B8" s="1" t="s">
        <v>5</v>
      </c>
      <c r="C8" s="1" t="s">
        <v>19</v>
      </c>
      <c r="D8" s="1" t="s">
        <v>20</v>
      </c>
    </row>
    <row r="9">
      <c r="A9" s="1">
        <v>8.0</v>
      </c>
      <c r="B9" s="1" t="s">
        <v>15</v>
      </c>
      <c r="C9" s="1" t="s">
        <v>16</v>
      </c>
      <c r="D9" s="1" t="s">
        <v>21</v>
      </c>
    </row>
    <row r="10">
      <c r="A10" s="1">
        <v>9.0</v>
      </c>
      <c r="B10" s="1" t="s">
        <v>15</v>
      </c>
      <c r="C10" s="1" t="s">
        <v>16</v>
      </c>
      <c r="D10" s="1" t="s">
        <v>22</v>
      </c>
    </row>
    <row r="11">
      <c r="A11" s="1">
        <v>10.0</v>
      </c>
      <c r="B11" s="1" t="s">
        <v>15</v>
      </c>
      <c r="C11" s="1" t="s">
        <v>16</v>
      </c>
      <c r="D11" s="1" t="s">
        <v>23</v>
      </c>
    </row>
    <row r="12">
      <c r="A12" s="1">
        <v>11.0</v>
      </c>
      <c r="B12" s="1" t="s">
        <v>5</v>
      </c>
      <c r="C12" s="1" t="s">
        <v>24</v>
      </c>
      <c r="D12" s="1" t="s">
        <v>25</v>
      </c>
    </row>
    <row r="13">
      <c r="A13" s="1">
        <v>12.0</v>
      </c>
      <c r="B13" s="1" t="s">
        <v>5</v>
      </c>
      <c r="C13" s="1" t="s">
        <v>26</v>
      </c>
      <c r="D13" s="1" t="s">
        <v>27</v>
      </c>
    </row>
    <row r="14">
      <c r="A14" s="1">
        <v>13.0</v>
      </c>
      <c r="B14" s="1" t="s">
        <v>15</v>
      </c>
      <c r="C14" s="1" t="s">
        <v>16</v>
      </c>
      <c r="D14" s="1" t="s">
        <v>28</v>
      </c>
    </row>
    <row r="15">
      <c r="A15" s="1">
        <v>14.0</v>
      </c>
      <c r="B15" s="1" t="s">
        <v>5</v>
      </c>
      <c r="C15" s="1" t="s">
        <v>29</v>
      </c>
      <c r="D15" s="1" t="s">
        <v>30</v>
      </c>
    </row>
    <row r="16">
      <c r="A16" s="1">
        <v>15.0</v>
      </c>
      <c r="B16" s="1" t="s">
        <v>5</v>
      </c>
      <c r="C16" s="1" t="s">
        <v>31</v>
      </c>
      <c r="D16" s="1" t="s">
        <v>32</v>
      </c>
    </row>
    <row r="17">
      <c r="A17" s="1">
        <v>16.0</v>
      </c>
      <c r="B17" s="1" t="s">
        <v>5</v>
      </c>
      <c r="C17" s="1" t="s">
        <v>26</v>
      </c>
      <c r="D17" s="1" t="s">
        <v>33</v>
      </c>
    </row>
    <row r="18">
      <c r="A18" s="1">
        <v>17.0</v>
      </c>
      <c r="B18" s="1" t="s">
        <v>5</v>
      </c>
      <c r="C18" s="1" t="s">
        <v>19</v>
      </c>
      <c r="D18" s="1" t="s">
        <v>34</v>
      </c>
    </row>
    <row r="19">
      <c r="A19" s="1">
        <v>18.0</v>
      </c>
      <c r="B19" s="1" t="s">
        <v>5</v>
      </c>
      <c r="C19" s="1" t="s">
        <v>24</v>
      </c>
      <c r="D19" s="1" t="s">
        <v>35</v>
      </c>
    </row>
    <row r="20">
      <c r="A20" s="1">
        <v>19.0</v>
      </c>
      <c r="B20" s="1" t="s">
        <v>5</v>
      </c>
      <c r="C20" s="1" t="s">
        <v>31</v>
      </c>
      <c r="D20" s="1" t="s">
        <v>36</v>
      </c>
    </row>
    <row r="21">
      <c r="A21" s="1">
        <v>20.0</v>
      </c>
      <c r="B21" s="1" t="s">
        <v>5</v>
      </c>
      <c r="C21" s="1" t="s">
        <v>10</v>
      </c>
      <c r="D21" s="1" t="s">
        <v>37</v>
      </c>
    </row>
    <row r="22">
      <c r="A22" s="1">
        <v>21.0</v>
      </c>
      <c r="B22" s="1" t="s">
        <v>5</v>
      </c>
      <c r="C22" s="1" t="s">
        <v>38</v>
      </c>
      <c r="D22" s="1" t="s">
        <v>39</v>
      </c>
    </row>
    <row r="23">
      <c r="A23" s="1">
        <v>22.0</v>
      </c>
      <c r="B23" s="1" t="s">
        <v>15</v>
      </c>
      <c r="C23" s="1" t="s">
        <v>16</v>
      </c>
      <c r="D23" s="1" t="s">
        <v>40</v>
      </c>
    </row>
    <row r="24">
      <c r="A24" s="1">
        <v>23.0</v>
      </c>
      <c r="B24" s="1" t="s">
        <v>15</v>
      </c>
      <c r="C24" s="1" t="s">
        <v>16</v>
      </c>
      <c r="D24" s="1" t="s">
        <v>41</v>
      </c>
    </row>
    <row r="25">
      <c r="A25" s="1">
        <v>24.0</v>
      </c>
      <c r="B25" s="1" t="s">
        <v>5</v>
      </c>
      <c r="C25" s="1" t="s">
        <v>10</v>
      </c>
      <c r="D25" s="1" t="s">
        <v>42</v>
      </c>
    </row>
    <row r="26">
      <c r="A26" s="1">
        <v>25.0</v>
      </c>
      <c r="B26" s="1" t="s">
        <v>15</v>
      </c>
      <c r="C26" s="1" t="s">
        <v>16</v>
      </c>
      <c r="D26" s="1" t="s">
        <v>43</v>
      </c>
    </row>
    <row r="27">
      <c r="A27" s="1">
        <v>26.0</v>
      </c>
      <c r="B27" s="1" t="s">
        <v>15</v>
      </c>
      <c r="C27" s="1" t="s">
        <v>16</v>
      </c>
      <c r="D27" s="1" t="s">
        <v>44</v>
      </c>
    </row>
    <row r="28">
      <c r="A28" s="1" t="s">
        <v>45</v>
      </c>
      <c r="B28" s="2">
        <f>10/26</f>
        <v>0.3846153846</v>
      </c>
    </row>
    <row r="29">
      <c r="A29" s="3" t="s">
        <v>46</v>
      </c>
    </row>
    <row r="30">
      <c r="A30" s="3" t="s">
        <v>47</v>
      </c>
    </row>
    <row r="31">
      <c r="A31" s="3" t="s">
        <v>48</v>
      </c>
    </row>
    <row r="32">
      <c r="A32" s="3" t="s">
        <v>49</v>
      </c>
    </row>
    <row r="33">
      <c r="A33" s="3" t="s">
        <v>50</v>
      </c>
    </row>
    <row r="36">
      <c r="A36" s="4" t="s">
        <v>51</v>
      </c>
    </row>
    <row r="37">
      <c r="A37" s="4" t="s">
        <v>52</v>
      </c>
    </row>
    <row r="38">
      <c r="A38" s="4" t="s">
        <v>53</v>
      </c>
    </row>
    <row r="39">
      <c r="A39" s="4" t="s">
        <v>54</v>
      </c>
    </row>
    <row r="40">
      <c r="A40" s="4" t="s">
        <v>55</v>
      </c>
    </row>
    <row r="41">
      <c r="A41" s="4" t="s">
        <v>56</v>
      </c>
    </row>
    <row r="42">
      <c r="A42" s="4" t="s">
        <v>57</v>
      </c>
    </row>
    <row r="43">
      <c r="A43" s="4" t="s">
        <v>58</v>
      </c>
    </row>
    <row r="44">
      <c r="A44" s="4" t="s">
        <v>59</v>
      </c>
    </row>
  </sheetData>
  <conditionalFormatting sqref="B2:B27">
    <cfRule type="containsText" dxfId="0" priority="1" operator="containsText" text="Pass">
      <formula>NOT(ISERROR(SEARCH(("Pass"),(B2))))</formula>
    </cfRule>
  </conditionalFormatting>
  <conditionalFormatting sqref="B2:B27">
    <cfRule type="containsText" dxfId="1" priority="2" operator="containsText" text="Fail">
      <formula>NOT(ISERROR(SEARCH(("Fail"),(B2))))</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0.38"/>
    <col customWidth="1" min="4" max="4" width="118.0"/>
  </cols>
  <sheetData>
    <row r="1">
      <c r="A1" s="1" t="s">
        <v>60</v>
      </c>
      <c r="B1" s="1" t="s">
        <v>61</v>
      </c>
      <c r="C1" s="1" t="s">
        <v>1</v>
      </c>
      <c r="D1" s="1" t="s">
        <v>62</v>
      </c>
      <c r="E1" s="1" t="s">
        <v>63</v>
      </c>
    </row>
    <row r="2">
      <c r="A2" s="1">
        <v>1.0</v>
      </c>
      <c r="B2" s="1" t="s">
        <v>64</v>
      </c>
      <c r="C2" s="1" t="s">
        <v>15</v>
      </c>
      <c r="D2" s="1" t="s">
        <v>65</v>
      </c>
      <c r="E2" s="1">
        <v>5.0</v>
      </c>
    </row>
    <row r="3">
      <c r="A3" s="1">
        <v>2.0</v>
      </c>
      <c r="B3" s="1" t="s">
        <v>66</v>
      </c>
      <c r="C3" s="1" t="s">
        <v>5</v>
      </c>
      <c r="D3" s="1" t="s">
        <v>67</v>
      </c>
      <c r="E3" s="1">
        <v>2.0</v>
      </c>
    </row>
    <row r="4">
      <c r="A4" s="1">
        <v>3.0</v>
      </c>
      <c r="B4" s="1" t="s">
        <v>68</v>
      </c>
      <c r="C4" s="1" t="s">
        <v>5</v>
      </c>
      <c r="D4" s="1" t="s">
        <v>69</v>
      </c>
      <c r="E4" s="1">
        <v>0.0</v>
      </c>
    </row>
    <row r="5">
      <c r="A5" s="1">
        <v>4.0</v>
      </c>
      <c r="B5" s="1" t="s">
        <v>70</v>
      </c>
      <c r="C5" s="1" t="s">
        <v>5</v>
      </c>
      <c r="D5" s="1" t="s">
        <v>71</v>
      </c>
      <c r="E5" s="1">
        <v>3.0</v>
      </c>
    </row>
    <row r="6">
      <c r="A6" s="1">
        <v>5.0</v>
      </c>
      <c r="B6" s="1" t="s">
        <v>72</v>
      </c>
      <c r="C6" s="1" t="s">
        <v>5</v>
      </c>
      <c r="D6" s="1" t="s">
        <v>73</v>
      </c>
      <c r="E6" s="1">
        <v>2.0</v>
      </c>
    </row>
    <row r="7">
      <c r="A7" s="1">
        <v>6.0</v>
      </c>
      <c r="B7" s="1" t="s">
        <v>74</v>
      </c>
      <c r="C7" s="1" t="s">
        <v>5</v>
      </c>
      <c r="D7" s="1" t="s">
        <v>75</v>
      </c>
      <c r="E7" s="1">
        <v>2.0</v>
      </c>
    </row>
    <row r="8">
      <c r="A8" s="1">
        <v>7.0</v>
      </c>
      <c r="B8" s="1" t="s">
        <v>76</v>
      </c>
      <c r="C8" s="1" t="s">
        <v>5</v>
      </c>
      <c r="D8" s="1" t="s">
        <v>67</v>
      </c>
      <c r="E8" s="1">
        <v>2.0</v>
      </c>
    </row>
    <row r="9">
      <c r="A9" s="1">
        <v>8.0</v>
      </c>
      <c r="B9" s="1" t="s">
        <v>77</v>
      </c>
      <c r="C9" s="1" t="s">
        <v>5</v>
      </c>
      <c r="D9" s="1" t="s">
        <v>78</v>
      </c>
      <c r="E9" s="1">
        <v>1.0</v>
      </c>
    </row>
    <row r="10">
      <c r="A10" s="1">
        <v>9.0</v>
      </c>
      <c r="B10" s="1" t="s">
        <v>79</v>
      </c>
      <c r="C10" s="1" t="s">
        <v>5</v>
      </c>
      <c r="D10" s="1" t="s">
        <v>67</v>
      </c>
      <c r="E10" s="1">
        <v>2.0</v>
      </c>
    </row>
    <row r="11">
      <c r="A11" s="1">
        <v>10.0</v>
      </c>
      <c r="B11" s="1" t="s">
        <v>80</v>
      </c>
      <c r="C11" s="1" t="s">
        <v>5</v>
      </c>
      <c r="D11" s="1" t="s">
        <v>81</v>
      </c>
      <c r="E11" s="1">
        <v>3.0</v>
      </c>
    </row>
    <row r="12">
      <c r="A12" s="1">
        <v>11.0</v>
      </c>
      <c r="B12" s="1" t="s">
        <v>82</v>
      </c>
      <c r="C12" s="1" t="s">
        <v>5</v>
      </c>
      <c r="D12" s="1" t="s">
        <v>78</v>
      </c>
      <c r="E12" s="1">
        <v>1.0</v>
      </c>
    </row>
    <row r="13">
      <c r="A13" s="1">
        <v>12.0</v>
      </c>
      <c r="B13" s="1" t="s">
        <v>83</v>
      </c>
      <c r="C13" s="1" t="s">
        <v>5</v>
      </c>
      <c r="D13" s="1" t="s">
        <v>84</v>
      </c>
      <c r="E13" s="1">
        <v>1.0</v>
      </c>
    </row>
    <row r="14">
      <c r="A14" s="1">
        <v>13.0</v>
      </c>
      <c r="B14" s="1" t="s">
        <v>85</v>
      </c>
      <c r="C14" s="1" t="s">
        <v>5</v>
      </c>
      <c r="D14" s="1" t="s">
        <v>86</v>
      </c>
      <c r="E14" s="1">
        <v>3.0</v>
      </c>
    </row>
    <row r="15">
      <c r="A15" s="1">
        <v>14.0</v>
      </c>
      <c r="B15" s="1" t="s">
        <v>87</v>
      </c>
      <c r="C15" s="1" t="s">
        <v>5</v>
      </c>
      <c r="D15" s="1" t="s">
        <v>88</v>
      </c>
      <c r="E15" s="1">
        <v>3.0</v>
      </c>
    </row>
    <row r="16">
      <c r="A16" s="1">
        <v>15.0</v>
      </c>
      <c r="B16" s="1" t="s">
        <v>89</v>
      </c>
      <c r="C16" s="1" t="s">
        <v>5</v>
      </c>
      <c r="D16" s="1" t="s">
        <v>90</v>
      </c>
      <c r="E16" s="1">
        <v>2.0</v>
      </c>
    </row>
    <row r="17">
      <c r="A17" s="1">
        <v>16.0</v>
      </c>
      <c r="B17" s="1" t="s">
        <v>91</v>
      </c>
      <c r="C17" s="1" t="s">
        <v>5</v>
      </c>
      <c r="D17" s="1" t="s">
        <v>69</v>
      </c>
      <c r="E17" s="1">
        <v>0.0</v>
      </c>
    </row>
    <row r="18">
      <c r="A18" s="1">
        <v>17.0</v>
      </c>
      <c r="B18" s="1" t="s">
        <v>92</v>
      </c>
      <c r="C18" s="1" t="s">
        <v>5</v>
      </c>
      <c r="D18" s="1" t="s">
        <v>93</v>
      </c>
      <c r="E18" s="1">
        <v>1.0</v>
      </c>
    </row>
    <row r="19">
      <c r="A19" s="1">
        <v>18.0</v>
      </c>
      <c r="B19" s="1" t="s">
        <v>94</v>
      </c>
      <c r="C19" s="1" t="s">
        <v>15</v>
      </c>
      <c r="D19" s="1" t="s">
        <v>95</v>
      </c>
      <c r="E19" s="1">
        <v>4.0</v>
      </c>
    </row>
    <row r="20">
      <c r="A20" s="1">
        <v>19.0</v>
      </c>
      <c r="B20" s="1" t="s">
        <v>96</v>
      </c>
      <c r="C20" s="1" t="s">
        <v>5</v>
      </c>
      <c r="D20" s="1" t="s">
        <v>97</v>
      </c>
      <c r="E20" s="1">
        <v>2.0</v>
      </c>
    </row>
    <row r="21">
      <c r="A21" s="1">
        <v>20.0</v>
      </c>
      <c r="B21" s="1" t="s">
        <v>98</v>
      </c>
      <c r="C21" s="1" t="s">
        <v>5</v>
      </c>
      <c r="D21" s="1" t="s">
        <v>81</v>
      </c>
      <c r="E21" s="1">
        <v>3.0</v>
      </c>
    </row>
    <row r="22">
      <c r="A22" s="1">
        <v>21.0</v>
      </c>
      <c r="B22" s="1" t="s">
        <v>99</v>
      </c>
      <c r="C22" s="1" t="s">
        <v>5</v>
      </c>
      <c r="D22" s="1" t="s">
        <v>93</v>
      </c>
      <c r="E22" s="1">
        <v>1.0</v>
      </c>
    </row>
    <row r="23">
      <c r="A23" s="1">
        <v>22.0</v>
      </c>
      <c r="B23" s="1" t="s">
        <v>100</v>
      </c>
      <c r="C23" s="1" t="s">
        <v>15</v>
      </c>
      <c r="D23" s="1" t="s">
        <v>101</v>
      </c>
      <c r="E23" s="1">
        <v>4.0</v>
      </c>
    </row>
    <row r="24">
      <c r="A24" s="1">
        <v>23.0</v>
      </c>
      <c r="B24" s="1" t="s">
        <v>102</v>
      </c>
      <c r="C24" s="1" t="s">
        <v>15</v>
      </c>
      <c r="D24" s="1" t="s">
        <v>101</v>
      </c>
      <c r="E24" s="1">
        <v>4.0</v>
      </c>
    </row>
    <row r="25">
      <c r="A25" s="1">
        <v>24.0</v>
      </c>
      <c r="B25" s="1" t="s">
        <v>103</v>
      </c>
      <c r="C25" s="1" t="s">
        <v>5</v>
      </c>
      <c r="D25" s="1" t="s">
        <v>104</v>
      </c>
      <c r="E25" s="1">
        <v>3.0</v>
      </c>
    </row>
    <row r="26">
      <c r="A26" s="1">
        <v>25.0</v>
      </c>
      <c r="B26" s="1" t="s">
        <v>105</v>
      </c>
      <c r="C26" s="1" t="s">
        <v>5</v>
      </c>
      <c r="D26" s="1" t="s">
        <v>88</v>
      </c>
      <c r="E26" s="1">
        <v>3.0</v>
      </c>
    </row>
    <row r="27">
      <c r="A27" s="1">
        <v>26.0</v>
      </c>
      <c r="B27" s="1" t="s">
        <v>106</v>
      </c>
      <c r="C27" s="1" t="s">
        <v>15</v>
      </c>
      <c r="D27" s="1" t="s">
        <v>101</v>
      </c>
      <c r="E27" s="1">
        <v>4.0</v>
      </c>
    </row>
    <row r="29">
      <c r="A29" s="1" t="s">
        <v>45</v>
      </c>
      <c r="B29" s="2">
        <f>5/26</f>
        <v>0.1923076923</v>
      </c>
    </row>
    <row r="30">
      <c r="A30" s="1" t="s">
        <v>107</v>
      </c>
    </row>
    <row r="32">
      <c r="A32" s="1" t="s">
        <v>108</v>
      </c>
    </row>
    <row r="33">
      <c r="A33" s="5" t="s">
        <v>109</v>
      </c>
    </row>
    <row r="34">
      <c r="A34" s="5" t="s">
        <v>110</v>
      </c>
    </row>
    <row r="35">
      <c r="A35" s="6" t="s">
        <v>111</v>
      </c>
    </row>
    <row r="36">
      <c r="A36" s="6" t="s">
        <v>112</v>
      </c>
    </row>
    <row r="37">
      <c r="A37" s="6" t="s">
        <v>113</v>
      </c>
    </row>
    <row r="38">
      <c r="A38" s="1" t="s">
        <v>114</v>
      </c>
    </row>
  </sheetData>
  <conditionalFormatting sqref="C2:C27">
    <cfRule type="containsText" dxfId="0" priority="1" operator="containsText" text="Pass">
      <formula>NOT(ISERROR(SEARCH(("Pass"),(C2))))</formula>
    </cfRule>
  </conditionalFormatting>
  <conditionalFormatting sqref="C2:C27">
    <cfRule type="containsText" dxfId="2" priority="2" operator="containsText" text="Fail">
      <formula>NOT(ISERROR(SEARCH(("Fail"),(C2))))</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75"/>
    <col customWidth="1" min="2" max="2" width="26.13"/>
    <col customWidth="1" min="3" max="3" width="12.5"/>
    <col customWidth="1" min="7" max="7" width="24.13"/>
  </cols>
  <sheetData>
    <row r="1">
      <c r="A1" s="7" t="s">
        <v>115</v>
      </c>
      <c r="C1" s="8"/>
      <c r="D1" s="8"/>
      <c r="E1" s="8"/>
    </row>
    <row r="2">
      <c r="A2" s="8" t="s">
        <v>116</v>
      </c>
    </row>
    <row r="3">
      <c r="A3" s="9"/>
    </row>
    <row r="4">
      <c r="A4" s="8" t="s">
        <v>117</v>
      </c>
    </row>
    <row r="5">
      <c r="A5" s="9"/>
    </row>
    <row r="6">
      <c r="A6" s="8" t="s">
        <v>118</v>
      </c>
    </row>
    <row r="7">
      <c r="A7" s="9"/>
      <c r="H7" s="5" t="s">
        <v>119</v>
      </c>
      <c r="I7" s="5" t="s">
        <v>120</v>
      </c>
    </row>
    <row r="8">
      <c r="A8" s="8" t="s">
        <v>121</v>
      </c>
      <c r="G8" s="5" t="s">
        <v>122</v>
      </c>
      <c r="H8" s="5">
        <v>6.0</v>
      </c>
      <c r="I8" s="5">
        <v>8.0</v>
      </c>
    </row>
    <row r="9">
      <c r="A9" s="8" t="s">
        <v>123</v>
      </c>
      <c r="G9" s="5" t="s">
        <v>124</v>
      </c>
      <c r="H9" s="5">
        <v>4.0</v>
      </c>
      <c r="I9" s="5">
        <v>2.0</v>
      </c>
    </row>
    <row r="10">
      <c r="A10" s="8" t="s">
        <v>125</v>
      </c>
      <c r="G10" s="5" t="s">
        <v>126</v>
      </c>
      <c r="H10" s="5">
        <v>42.0</v>
      </c>
      <c r="I10" s="10" t="s">
        <v>127</v>
      </c>
    </row>
    <row r="11">
      <c r="A11" s="8" t="s">
        <v>128</v>
      </c>
      <c r="G11" s="5" t="s">
        <v>129</v>
      </c>
      <c r="H11" s="5">
        <v>18.0</v>
      </c>
      <c r="I11" s="10" t="s">
        <v>127</v>
      </c>
    </row>
    <row r="12">
      <c r="A12" s="8" t="s">
        <v>130</v>
      </c>
    </row>
    <row r="13">
      <c r="A13" s="8" t="s">
        <v>131</v>
      </c>
    </row>
    <row r="16">
      <c r="A16" s="11" t="s">
        <v>132</v>
      </c>
      <c r="B16" s="12" t="s">
        <v>133</v>
      </c>
      <c r="C16" s="12" t="s">
        <v>134</v>
      </c>
      <c r="D16" s="12" t="s">
        <v>135</v>
      </c>
    </row>
    <row r="17">
      <c r="A17" s="13" t="s">
        <v>136</v>
      </c>
      <c r="B17" s="14" t="s">
        <v>137</v>
      </c>
      <c r="C17" s="15" t="s">
        <v>138</v>
      </c>
      <c r="D17" s="14" t="s">
        <v>139</v>
      </c>
    </row>
    <row r="18">
      <c r="A18" s="1" t="s">
        <v>136</v>
      </c>
      <c r="B18" s="14" t="s">
        <v>140</v>
      </c>
      <c r="C18" s="15" t="s">
        <v>138</v>
      </c>
      <c r="D18" s="14" t="s">
        <v>141</v>
      </c>
    </row>
    <row r="19">
      <c r="A19" s="1" t="s">
        <v>136</v>
      </c>
      <c r="B19" s="14" t="s">
        <v>142</v>
      </c>
      <c r="C19" s="15" t="s">
        <v>138</v>
      </c>
      <c r="D19" s="14" t="s">
        <v>143</v>
      </c>
    </row>
    <row r="20">
      <c r="A20" s="1" t="s">
        <v>136</v>
      </c>
      <c r="B20" s="14" t="s">
        <v>144</v>
      </c>
      <c r="C20" s="15" t="s">
        <v>138</v>
      </c>
      <c r="D20" s="14" t="s">
        <v>145</v>
      </c>
    </row>
    <row r="21">
      <c r="A21" s="1" t="s">
        <v>136</v>
      </c>
      <c r="B21" s="14" t="s">
        <v>146</v>
      </c>
      <c r="C21" s="15" t="s">
        <v>138</v>
      </c>
      <c r="D21" s="14" t="s">
        <v>147</v>
      </c>
    </row>
    <row r="22">
      <c r="A22" s="16" t="s">
        <v>136</v>
      </c>
      <c r="B22" s="17" t="s">
        <v>148</v>
      </c>
      <c r="C22" s="18" t="s">
        <v>138</v>
      </c>
      <c r="D22" s="17" t="s">
        <v>149</v>
      </c>
      <c r="E22" s="19"/>
      <c r="F22" s="19"/>
      <c r="G22" s="19"/>
      <c r="H22" s="19"/>
      <c r="I22" s="19"/>
      <c r="J22" s="19"/>
      <c r="K22" s="19"/>
      <c r="L22" s="19"/>
      <c r="M22" s="19"/>
      <c r="N22" s="19"/>
      <c r="O22" s="19"/>
      <c r="P22" s="19"/>
      <c r="Q22" s="19"/>
    </row>
    <row r="23">
      <c r="A23" s="20" t="s">
        <v>150</v>
      </c>
      <c r="B23" s="14" t="s">
        <v>137</v>
      </c>
      <c r="C23" s="15" t="s">
        <v>138</v>
      </c>
      <c r="D23" s="14" t="s">
        <v>151</v>
      </c>
    </row>
    <row r="24">
      <c r="A24" s="1" t="s">
        <v>150</v>
      </c>
      <c r="B24" s="14" t="s">
        <v>140</v>
      </c>
      <c r="C24" s="21" t="s">
        <v>152</v>
      </c>
      <c r="D24" s="14" t="s">
        <v>153</v>
      </c>
    </row>
    <row r="25">
      <c r="A25" s="1" t="s">
        <v>150</v>
      </c>
      <c r="B25" s="14" t="s">
        <v>142</v>
      </c>
      <c r="C25" s="21" t="s">
        <v>152</v>
      </c>
      <c r="D25" s="14" t="s">
        <v>154</v>
      </c>
    </row>
    <row r="26">
      <c r="A26" s="1" t="s">
        <v>150</v>
      </c>
      <c r="B26" s="14" t="s">
        <v>144</v>
      </c>
      <c r="C26" s="21" t="s">
        <v>152</v>
      </c>
      <c r="D26" s="14" t="s">
        <v>155</v>
      </c>
    </row>
    <row r="27">
      <c r="A27" s="1" t="s">
        <v>150</v>
      </c>
      <c r="B27" s="14" t="s">
        <v>146</v>
      </c>
      <c r="C27" s="21" t="s">
        <v>152</v>
      </c>
      <c r="D27" s="14" t="s">
        <v>156</v>
      </c>
    </row>
    <row r="28">
      <c r="A28" s="16" t="s">
        <v>150</v>
      </c>
      <c r="B28" s="17" t="s">
        <v>148</v>
      </c>
      <c r="C28" s="22" t="s">
        <v>152</v>
      </c>
      <c r="D28" s="17" t="s">
        <v>157</v>
      </c>
      <c r="E28" s="19"/>
      <c r="F28" s="19"/>
      <c r="G28" s="19"/>
      <c r="H28" s="19"/>
      <c r="I28" s="19"/>
      <c r="J28" s="19"/>
      <c r="K28" s="19"/>
      <c r="L28" s="19"/>
      <c r="M28" s="19"/>
      <c r="N28" s="19"/>
    </row>
    <row r="29">
      <c r="A29" s="13" t="s">
        <v>158</v>
      </c>
      <c r="B29" s="14" t="s">
        <v>137</v>
      </c>
      <c r="C29" s="15" t="s">
        <v>138</v>
      </c>
      <c r="D29" s="14" t="s">
        <v>159</v>
      </c>
    </row>
    <row r="30">
      <c r="A30" s="1" t="s">
        <v>158</v>
      </c>
      <c r="B30" s="14" t="s">
        <v>140</v>
      </c>
      <c r="C30" s="15" t="s">
        <v>138</v>
      </c>
      <c r="D30" s="14" t="s">
        <v>160</v>
      </c>
    </row>
    <row r="31">
      <c r="A31" s="1" t="s">
        <v>158</v>
      </c>
      <c r="B31" s="14" t="s">
        <v>142</v>
      </c>
      <c r="C31" s="15" t="s">
        <v>138</v>
      </c>
      <c r="D31" s="14" t="s">
        <v>161</v>
      </c>
    </row>
    <row r="32">
      <c r="A32" s="1" t="s">
        <v>158</v>
      </c>
      <c r="B32" s="14" t="s">
        <v>144</v>
      </c>
      <c r="C32" s="15" t="s">
        <v>138</v>
      </c>
      <c r="D32" s="14" t="s">
        <v>162</v>
      </c>
    </row>
    <row r="33">
      <c r="A33" s="1" t="s">
        <v>158</v>
      </c>
      <c r="B33" s="14" t="s">
        <v>146</v>
      </c>
      <c r="C33" s="15" t="s">
        <v>138</v>
      </c>
      <c r="D33" s="14" t="s">
        <v>163</v>
      </c>
    </row>
    <row r="34">
      <c r="A34" s="16" t="s">
        <v>158</v>
      </c>
      <c r="B34" s="17" t="s">
        <v>148</v>
      </c>
      <c r="C34" s="18" t="s">
        <v>138</v>
      </c>
      <c r="D34" s="17" t="s">
        <v>164</v>
      </c>
      <c r="E34" s="19"/>
      <c r="F34" s="19"/>
      <c r="G34" s="19"/>
      <c r="H34" s="19"/>
      <c r="I34" s="19"/>
      <c r="J34" s="19"/>
      <c r="K34" s="19"/>
      <c r="L34" s="19"/>
      <c r="M34" s="19"/>
      <c r="N34" s="19"/>
    </row>
    <row r="35">
      <c r="A35" s="20" t="s">
        <v>165</v>
      </c>
      <c r="B35" s="14" t="s">
        <v>137</v>
      </c>
      <c r="C35" s="15" t="s">
        <v>138</v>
      </c>
      <c r="D35" s="14" t="s">
        <v>166</v>
      </c>
    </row>
    <row r="36">
      <c r="A36" s="1" t="s">
        <v>165</v>
      </c>
      <c r="B36" s="14" t="s">
        <v>140</v>
      </c>
      <c r="C36" s="21" t="s">
        <v>152</v>
      </c>
      <c r="D36" s="14" t="s">
        <v>167</v>
      </c>
    </row>
    <row r="37">
      <c r="A37" s="1" t="s">
        <v>165</v>
      </c>
      <c r="B37" s="14" t="s">
        <v>142</v>
      </c>
      <c r="C37" s="21" t="s">
        <v>152</v>
      </c>
      <c r="D37" s="14" t="s">
        <v>168</v>
      </c>
    </row>
    <row r="38">
      <c r="A38" s="1" t="s">
        <v>165</v>
      </c>
      <c r="B38" s="14" t="s">
        <v>144</v>
      </c>
      <c r="C38" s="21" t="s">
        <v>152</v>
      </c>
      <c r="D38" s="14" t="s">
        <v>169</v>
      </c>
    </row>
    <row r="39">
      <c r="A39" s="1" t="s">
        <v>165</v>
      </c>
      <c r="B39" s="14" t="s">
        <v>146</v>
      </c>
      <c r="C39" s="21" t="s">
        <v>152</v>
      </c>
      <c r="D39" s="14" t="s">
        <v>170</v>
      </c>
    </row>
    <row r="40">
      <c r="A40" s="16" t="s">
        <v>165</v>
      </c>
      <c r="B40" s="17" t="s">
        <v>148</v>
      </c>
      <c r="C40" s="22" t="s">
        <v>152</v>
      </c>
      <c r="D40" s="17" t="s">
        <v>171</v>
      </c>
      <c r="E40" s="19"/>
      <c r="F40" s="19"/>
      <c r="G40" s="19"/>
      <c r="H40" s="19"/>
      <c r="I40" s="19"/>
      <c r="J40" s="19"/>
      <c r="K40" s="19"/>
      <c r="L40" s="19"/>
      <c r="M40" s="19"/>
      <c r="N40" s="19"/>
      <c r="O40" s="19"/>
    </row>
    <row r="41">
      <c r="A41" s="13" t="s">
        <v>172</v>
      </c>
      <c r="B41" s="14" t="s">
        <v>137</v>
      </c>
      <c r="C41" s="15" t="s">
        <v>138</v>
      </c>
      <c r="D41" s="14" t="s">
        <v>173</v>
      </c>
    </row>
    <row r="42">
      <c r="A42" s="1" t="s">
        <v>172</v>
      </c>
      <c r="B42" s="14" t="s">
        <v>140</v>
      </c>
      <c r="C42" s="15" t="s">
        <v>138</v>
      </c>
      <c r="D42" s="14" t="s">
        <v>174</v>
      </c>
    </row>
    <row r="43">
      <c r="A43" s="1" t="s">
        <v>172</v>
      </c>
      <c r="B43" s="14" t="s">
        <v>142</v>
      </c>
      <c r="C43" s="15" t="s">
        <v>138</v>
      </c>
      <c r="D43" s="14" t="s">
        <v>175</v>
      </c>
    </row>
    <row r="44">
      <c r="A44" s="1" t="s">
        <v>172</v>
      </c>
      <c r="B44" s="14" t="s">
        <v>144</v>
      </c>
      <c r="C44" s="15" t="s">
        <v>138</v>
      </c>
      <c r="D44" s="14" t="s">
        <v>176</v>
      </c>
    </row>
    <row r="45">
      <c r="A45" s="1" t="s">
        <v>172</v>
      </c>
      <c r="B45" s="14" t="s">
        <v>146</v>
      </c>
      <c r="C45" s="15" t="s">
        <v>138</v>
      </c>
      <c r="D45" s="14" t="s">
        <v>177</v>
      </c>
    </row>
    <row r="46">
      <c r="A46" s="16" t="s">
        <v>172</v>
      </c>
      <c r="B46" s="17" t="s">
        <v>148</v>
      </c>
      <c r="C46" s="18" t="s">
        <v>138</v>
      </c>
      <c r="D46" s="17" t="s">
        <v>178</v>
      </c>
      <c r="E46" s="19"/>
      <c r="F46" s="19"/>
      <c r="G46" s="19"/>
      <c r="H46" s="19"/>
      <c r="I46" s="19"/>
      <c r="J46" s="19"/>
      <c r="K46" s="19"/>
      <c r="L46" s="19"/>
      <c r="M46" s="19"/>
      <c r="N46" s="19"/>
    </row>
    <row r="47">
      <c r="A47" s="13" t="s">
        <v>179</v>
      </c>
      <c r="B47" s="14" t="s">
        <v>137</v>
      </c>
      <c r="C47" s="15" t="s">
        <v>138</v>
      </c>
      <c r="D47" s="14" t="s">
        <v>180</v>
      </c>
    </row>
    <row r="48">
      <c r="A48" s="1" t="s">
        <v>179</v>
      </c>
      <c r="B48" s="14" t="s">
        <v>140</v>
      </c>
      <c r="C48" s="15" t="s">
        <v>138</v>
      </c>
      <c r="D48" s="14" t="s">
        <v>181</v>
      </c>
    </row>
    <row r="49">
      <c r="A49" s="1" t="s">
        <v>179</v>
      </c>
      <c r="B49" s="14" t="s">
        <v>142</v>
      </c>
      <c r="C49" s="15" t="s">
        <v>138</v>
      </c>
      <c r="D49" s="14" t="s">
        <v>182</v>
      </c>
    </row>
    <row r="50">
      <c r="A50" s="1" t="s">
        <v>179</v>
      </c>
      <c r="B50" s="14" t="s">
        <v>144</v>
      </c>
      <c r="C50" s="15" t="s">
        <v>138</v>
      </c>
      <c r="D50" s="14" t="s">
        <v>183</v>
      </c>
    </row>
    <row r="51">
      <c r="A51" s="1" t="s">
        <v>179</v>
      </c>
      <c r="B51" s="14" t="s">
        <v>146</v>
      </c>
      <c r="C51" s="15" t="s">
        <v>138</v>
      </c>
      <c r="D51" s="14" t="s">
        <v>184</v>
      </c>
    </row>
    <row r="52">
      <c r="A52" s="16" t="s">
        <v>179</v>
      </c>
      <c r="B52" s="17" t="s">
        <v>148</v>
      </c>
      <c r="C52" s="18" t="s">
        <v>138</v>
      </c>
      <c r="D52" s="17" t="s">
        <v>185</v>
      </c>
      <c r="E52" s="19"/>
      <c r="F52" s="19"/>
      <c r="G52" s="19"/>
      <c r="H52" s="19"/>
      <c r="I52" s="19"/>
      <c r="J52" s="19"/>
      <c r="K52" s="19"/>
      <c r="L52" s="19"/>
      <c r="M52" s="19"/>
      <c r="N52" s="19"/>
      <c r="O52" s="19"/>
      <c r="P52" s="19"/>
      <c r="Q52" s="19"/>
    </row>
    <row r="53">
      <c r="A53" s="13" t="s">
        <v>186</v>
      </c>
      <c r="B53" s="14" t="s">
        <v>137</v>
      </c>
      <c r="C53" s="15" t="s">
        <v>138</v>
      </c>
      <c r="D53" s="14" t="s">
        <v>187</v>
      </c>
    </row>
    <row r="54">
      <c r="A54" s="1" t="s">
        <v>186</v>
      </c>
      <c r="B54" s="14" t="s">
        <v>140</v>
      </c>
      <c r="C54" s="15" t="s">
        <v>138</v>
      </c>
      <c r="D54" s="14" t="s">
        <v>188</v>
      </c>
    </row>
    <row r="55">
      <c r="A55" s="1" t="s">
        <v>186</v>
      </c>
      <c r="B55" s="14" t="s">
        <v>142</v>
      </c>
      <c r="C55" s="15" t="s">
        <v>138</v>
      </c>
      <c r="D55" s="14" t="s">
        <v>189</v>
      </c>
    </row>
    <row r="56">
      <c r="A56" s="1" t="s">
        <v>186</v>
      </c>
      <c r="B56" s="14" t="s">
        <v>144</v>
      </c>
      <c r="C56" s="15" t="s">
        <v>138</v>
      </c>
      <c r="D56" s="14" t="s">
        <v>190</v>
      </c>
    </row>
    <row r="57">
      <c r="A57" s="1" t="s">
        <v>186</v>
      </c>
      <c r="B57" s="14" t="s">
        <v>146</v>
      </c>
      <c r="C57" s="15" t="s">
        <v>138</v>
      </c>
      <c r="D57" s="14" t="s">
        <v>191</v>
      </c>
    </row>
    <row r="58">
      <c r="A58" s="16" t="s">
        <v>186</v>
      </c>
      <c r="B58" s="17" t="s">
        <v>148</v>
      </c>
      <c r="C58" s="18" t="s">
        <v>138</v>
      </c>
      <c r="D58" s="17" t="s">
        <v>192</v>
      </c>
      <c r="E58" s="19"/>
      <c r="F58" s="19"/>
      <c r="G58" s="19"/>
      <c r="H58" s="19"/>
      <c r="I58" s="19"/>
      <c r="J58" s="19"/>
      <c r="K58" s="19"/>
      <c r="L58" s="19"/>
      <c r="M58" s="19"/>
      <c r="N58" s="19"/>
      <c r="O58" s="19"/>
    </row>
    <row r="59">
      <c r="A59" s="13" t="s">
        <v>193</v>
      </c>
      <c r="B59" s="14" t="s">
        <v>137</v>
      </c>
      <c r="C59" s="15" t="s">
        <v>138</v>
      </c>
      <c r="D59" s="14" t="s">
        <v>194</v>
      </c>
    </row>
    <row r="60">
      <c r="A60" s="1" t="s">
        <v>193</v>
      </c>
      <c r="B60" s="14" t="s">
        <v>140</v>
      </c>
      <c r="C60" s="15" t="s">
        <v>138</v>
      </c>
      <c r="D60" s="14" t="s">
        <v>195</v>
      </c>
    </row>
    <row r="61">
      <c r="A61" s="1" t="s">
        <v>193</v>
      </c>
      <c r="B61" s="14" t="s">
        <v>142</v>
      </c>
      <c r="C61" s="15" t="s">
        <v>138</v>
      </c>
      <c r="D61" s="14" t="s">
        <v>196</v>
      </c>
    </row>
    <row r="62">
      <c r="A62" s="1" t="s">
        <v>193</v>
      </c>
      <c r="B62" s="14" t="s">
        <v>144</v>
      </c>
      <c r="C62" s="15" t="s">
        <v>138</v>
      </c>
      <c r="D62" s="14" t="s">
        <v>197</v>
      </c>
    </row>
    <row r="63">
      <c r="A63" s="1" t="s">
        <v>193</v>
      </c>
      <c r="B63" s="14" t="s">
        <v>146</v>
      </c>
      <c r="C63" s="15" t="s">
        <v>138</v>
      </c>
      <c r="D63" s="14" t="s">
        <v>198</v>
      </c>
    </row>
    <row r="64">
      <c r="A64" s="16" t="s">
        <v>193</v>
      </c>
      <c r="B64" s="17" t="s">
        <v>148</v>
      </c>
      <c r="C64" s="18" t="s">
        <v>138</v>
      </c>
      <c r="D64" s="17" t="s">
        <v>199</v>
      </c>
      <c r="E64" s="19"/>
      <c r="F64" s="19"/>
      <c r="G64" s="19"/>
      <c r="H64" s="19"/>
      <c r="I64" s="19"/>
      <c r="J64" s="19"/>
      <c r="K64" s="19"/>
      <c r="L64" s="19"/>
      <c r="M64" s="19"/>
      <c r="N64" s="19"/>
      <c r="O64" s="19"/>
      <c r="P64" s="19"/>
    </row>
    <row r="65">
      <c r="A65" s="20" t="s">
        <v>200</v>
      </c>
      <c r="B65" s="14" t="s">
        <v>137</v>
      </c>
      <c r="C65" s="15" t="s">
        <v>138</v>
      </c>
      <c r="D65" s="14" t="s">
        <v>201</v>
      </c>
    </row>
    <row r="66">
      <c r="A66" s="1" t="s">
        <v>200</v>
      </c>
      <c r="B66" s="14" t="s">
        <v>140</v>
      </c>
      <c r="C66" s="21" t="s">
        <v>152</v>
      </c>
      <c r="D66" s="14" t="s">
        <v>202</v>
      </c>
    </row>
    <row r="67">
      <c r="A67" s="1" t="s">
        <v>200</v>
      </c>
      <c r="B67" s="14" t="s">
        <v>142</v>
      </c>
      <c r="C67" s="21" t="s">
        <v>152</v>
      </c>
      <c r="D67" s="14" t="s">
        <v>203</v>
      </c>
    </row>
    <row r="68">
      <c r="A68" s="1" t="s">
        <v>200</v>
      </c>
      <c r="B68" s="14" t="s">
        <v>144</v>
      </c>
      <c r="C68" s="21" t="s">
        <v>152</v>
      </c>
      <c r="D68" s="14" t="s">
        <v>204</v>
      </c>
    </row>
    <row r="69">
      <c r="A69" s="1" t="s">
        <v>200</v>
      </c>
      <c r="B69" s="14" t="s">
        <v>146</v>
      </c>
      <c r="C69" s="15" t="s">
        <v>138</v>
      </c>
      <c r="D69" s="14" t="s">
        <v>205</v>
      </c>
    </row>
    <row r="70">
      <c r="A70" s="16" t="s">
        <v>200</v>
      </c>
      <c r="B70" s="17" t="s">
        <v>148</v>
      </c>
      <c r="C70" s="22" t="s">
        <v>152</v>
      </c>
      <c r="D70" s="17" t="s">
        <v>206</v>
      </c>
      <c r="E70" s="19"/>
      <c r="F70" s="19"/>
      <c r="G70" s="19"/>
      <c r="H70" s="19"/>
      <c r="I70" s="19"/>
      <c r="J70" s="19"/>
      <c r="K70" s="19"/>
      <c r="L70" s="19"/>
      <c r="M70" s="19"/>
      <c r="N70" s="19"/>
      <c r="O70" s="19"/>
    </row>
    <row r="71">
      <c r="A71" s="20" t="s">
        <v>207</v>
      </c>
      <c r="B71" s="14" t="s">
        <v>137</v>
      </c>
      <c r="C71" s="15" t="s">
        <v>138</v>
      </c>
      <c r="D71" s="14" t="s">
        <v>208</v>
      </c>
    </row>
    <row r="72">
      <c r="A72" s="1" t="s">
        <v>207</v>
      </c>
      <c r="B72" s="14" t="s">
        <v>140</v>
      </c>
      <c r="C72" s="21" t="s">
        <v>152</v>
      </c>
      <c r="D72" s="14" t="s">
        <v>209</v>
      </c>
    </row>
    <row r="73">
      <c r="A73" s="1" t="s">
        <v>207</v>
      </c>
      <c r="B73" s="14" t="s">
        <v>142</v>
      </c>
      <c r="C73" s="21" t="s">
        <v>152</v>
      </c>
      <c r="D73" s="14" t="s">
        <v>210</v>
      </c>
    </row>
    <row r="74">
      <c r="A74" s="1" t="s">
        <v>207</v>
      </c>
      <c r="B74" s="14" t="s">
        <v>144</v>
      </c>
      <c r="C74" s="21" t="s">
        <v>152</v>
      </c>
      <c r="D74" s="14" t="s">
        <v>211</v>
      </c>
    </row>
    <row r="75">
      <c r="A75" s="1" t="s">
        <v>207</v>
      </c>
      <c r="B75" s="14" t="s">
        <v>146</v>
      </c>
      <c r="C75" s="15" t="s">
        <v>138</v>
      </c>
      <c r="D75" s="14" t="s">
        <v>212</v>
      </c>
    </row>
    <row r="76">
      <c r="A76" s="16" t="s">
        <v>207</v>
      </c>
      <c r="B76" s="17" t="s">
        <v>148</v>
      </c>
      <c r="C76" s="22" t="s">
        <v>152</v>
      </c>
      <c r="D76" s="17" t="s">
        <v>213</v>
      </c>
      <c r="E76" s="19"/>
      <c r="F76" s="19"/>
      <c r="G76" s="19"/>
      <c r="H76" s="19"/>
      <c r="I76" s="19"/>
      <c r="J76" s="19"/>
      <c r="K76" s="19"/>
      <c r="L76" s="19"/>
    </row>
  </sheetData>
  <mergeCells count="10">
    <mergeCell ref="A11:D11"/>
    <mergeCell ref="A12:D12"/>
    <mergeCell ref="A13:D13"/>
    <mergeCell ref="A1:B1"/>
    <mergeCell ref="A2:E2"/>
    <mergeCell ref="A4:E4"/>
    <mergeCell ref="A6:D6"/>
    <mergeCell ref="A8:D8"/>
    <mergeCell ref="A9:D9"/>
    <mergeCell ref="A10:D10"/>
  </mergeCells>
  <drawing r:id="rId1"/>
</worksheet>
</file>