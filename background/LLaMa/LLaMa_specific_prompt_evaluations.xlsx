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ce-my.sharepoint.com/personal/rps7_rice_edu/Documents/ROARs/"/>
    </mc:Choice>
  </mc:AlternateContent>
  <xr:revisionPtr revIDLastSave="19" documentId="8_{39A551A5-7F44-A742-8396-36DC2BD43C55}" xr6:coauthVersionLast="47" xr6:coauthVersionMax="47" xr10:uidLastSave="{ED125A61-506F-6F4C-8866-6AB079496AF4}"/>
  <bookViews>
    <workbookView xWindow="0" yWindow="680" windowWidth="30240" windowHeight="17760" xr2:uid="{DB96E7C2-3D69-0F49-9DBE-00F0EE7EC54D}"/>
  </bookViews>
  <sheets>
    <sheet name="LLaMa_specific_prompt_evalua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 a="1"/>
  <c r="C42" i="1" s="1"/>
  <c r="B42" i="1" a="1"/>
  <c r="B4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<sst xmlns="http://schemas.openxmlformats.org/spreadsheetml/2006/main" count="629" uniqueCount="85">
  <si>
    <t>overall_compliance</t>
  </si>
  <si>
    <t>filename</t>
  </si>
  <si>
    <t>methods_evaluation.aligned_with_plo</t>
  </si>
  <si>
    <t>methods_evaluation.data_collection_details_present</t>
  </si>
  <si>
    <t>methods_evaluation.scoring_and_target_clear</t>
  </si>
  <si>
    <t>methods_evaluation.direct_measure_used</t>
  </si>
  <si>
    <t>results_conclusions_evaluation.uses_prohibited_terms</t>
  </si>
  <si>
    <t>results_conclusions_evaluation.current_year_data_only</t>
  </si>
  <si>
    <t>results_conclusions_evaluation.assessment_details_complete</t>
  </si>
  <si>
    <t>results_conclusions_evaluation.plo_achievement_status</t>
  </si>
  <si>
    <t>results_conclusions_evaluation.analysis_and_interpretation_included</t>
  </si>
  <si>
    <t>improvement_action_plan.dropdown_selection_valid</t>
  </si>
  <si>
    <t>improvement_action_plan.action_plan_sufficient</t>
  </si>
  <si>
    <t>improvement_action_plan.timeline_provided</t>
  </si>
  <si>
    <t>ANTH PhD ROAR AY2023-24 PLO1.docx</t>
  </si>
  <si>
    <t>Achieved</t>
  </si>
  <si>
    <t>ANTH PhD ROAR AY2023-24 PLO4.docx</t>
  </si>
  <si>
    <t>MATH PhD ROAR AY2023-24 PLO2.docx</t>
  </si>
  <si>
    <t>HIST BA ROAR AY2020-21 PLO3.docx</t>
  </si>
  <si>
    <t>CHBE PhD ROAR AY2023-24 PLO1.docx</t>
  </si>
  <si>
    <t>MATH PhD ROAR AY2023-24 PLO1.docx</t>
  </si>
  <si>
    <t>CHBE PhD ROAR AY2023-24 PLO4.docx</t>
  </si>
  <si>
    <t>ANTH PhD ROAR AY2023-24 PLO2.docx</t>
  </si>
  <si>
    <t>ECON_MTEC BA ROAR AY2023-24 PLO3.docx</t>
  </si>
  <si>
    <t>SMEP BA ROAR AY2023-24 PLO5.docx</t>
  </si>
  <si>
    <t>ECON_MTEC BA ROAR AY2023-24 PLO4.docx</t>
  </si>
  <si>
    <t>Naval Science minor ROAR AY2023-24 PLO4_May24.docx</t>
  </si>
  <si>
    <t>BIOE PhD ROAR AY22-23 PLO2 (proposal review).docx</t>
  </si>
  <si>
    <t>Naval Science minor ROAR AY2023-24 PLO5_May24.docx</t>
  </si>
  <si>
    <t>CHBE PhD ROAR AY2023-24 PLO3.docx</t>
  </si>
  <si>
    <t>SOCI BA ROAR AY2023-24 PLO4.docx</t>
  </si>
  <si>
    <t>ANTH PhD ROAR AY2023-24 PLO3.docx</t>
  </si>
  <si>
    <t>ECE MSPhD ROAR AY2023-24 PLO1.docx</t>
  </si>
  <si>
    <t>ECE MSPhD ROAR AY2023-24 PLO3.docx</t>
  </si>
  <si>
    <t>SOCI BA ROAR AY2023-24 PLO3.docx</t>
  </si>
  <si>
    <t>SMEP BA ROAR AY2023-24 PLO3.docx</t>
  </si>
  <si>
    <t>ECE MSPhD ROAR AY2023-24 PLO2.docx</t>
  </si>
  <si>
    <t>ANTH PhD ROAR AY2023-24 PLO5.docx</t>
  </si>
  <si>
    <t>CHBE PhD ROAR AY2023-24 PLO2.docx</t>
  </si>
  <si>
    <t>SMEP BA ROAR AY2023-24 PLO2.docx</t>
  </si>
  <si>
    <t>ENTR Minor ROAR AY2023-24 PLO1.docx</t>
  </si>
  <si>
    <t>ECON PhD ROAR AY2023-24 PLO1.docx</t>
  </si>
  <si>
    <t>SMGT BA ROAR AY2017-18 PLO3.docx</t>
  </si>
  <si>
    <t>ECON PhD ROAR AY2019-20 PLO2.docx</t>
  </si>
  <si>
    <t>SMGT BA ROAR AY2017-18 PLO6.docx</t>
  </si>
  <si>
    <t>CLAS BA ROAR AY2022-23 PLO3.docx</t>
  </si>
  <si>
    <t>CAAAS ROAR AY2023-24 PLO2.docx</t>
  </si>
  <si>
    <t>CHPY ROAR 2022-23 PLO1.docx</t>
  </si>
  <si>
    <t>CHPY ROAR 2024-25 PLO1 v2.docx</t>
  </si>
  <si>
    <t>ECON PhD ROAR AY2023-24 PLO4.docx</t>
  </si>
  <si>
    <t>ECON PhD ROAR AY2023-24 PLO2.docx</t>
  </si>
  <si>
    <t>AMCI BA ROAR AY2018-19 PLO1.docx</t>
  </si>
  <si>
    <t>Accounting PhD ROAR AY2019-20 PLO1.docx</t>
  </si>
  <si>
    <t>Inconclusive</t>
  </si>
  <si>
    <t>ROAR Business PhD PLO 3 2016 final.docx</t>
  </si>
  <si>
    <t>OIE Score</t>
  </si>
  <si>
    <t>PASS</t>
  </si>
  <si>
    <t>FLAG</t>
  </si>
  <si>
    <t>You are an AI assistant tasked with evaluating Rice Outcome Assessment Report (ROAR) documents.</t>
  </si>
  <si>
    <t>Assess the document against the mandatory criteria for the Nuventive Improve platform.</t>
  </si>
  <si>
    <t>Respond ONLY with a valid JSON object matching this schema:</t>
  </si>
  <si>
    <t>{</t>
  </si>
  <si>
    <t>"methods_evaluation": {</t>
  </si>
  <si>
    <t>"assessment_method_changed": boolean,</t>
  </si>
  <si>
    <t>"change_rationale_or_confirmation": string,</t>
  </si>
  <si>
    <t>"aligned_with_plo": boolean,</t>
  </si>
  <si>
    <t>"data_collection_details_present": boolean,</t>
  </si>
  <si>
    <t>"scoring_and_target_clear": boolean,</t>
  </si>
  <si>
    <t>"direct_measure_used": boolean</t>
  </si>
  <si>
    <t>},</t>
  </si>
  <si>
    <t>"results_conclusions_evaluation": {</t>
  </si>
  <si>
    <t>"uses_prohibited_terms": boolean,</t>
  </si>
  <si>
    <t>"current_year_data_only": boolean,</t>
  </si>
  <si>
    <t>"assessment_details_complete": boolean,</t>
  </si>
  <si>
    <t>"plo_achievement_status": "Achieved" | "Not Achieved" | "Inconclusive",</t>
  </si>
  <si>
    <t>"analysis_and_interpretation_included": boolean</t>
  </si>
  <si>
    <t>"improvement_action_plan": {</t>
  </si>
  <si>
    <t>"dropdown_selection_valid": boolean,</t>
  </si>
  <si>
    <t>"action_plan_sufficient": boolean,</t>
  </si>
  <si>
    <t>"timeline_provided": boolean</t>
  </si>
  <si>
    <t>"overall_compliance": boolean</t>
  </si>
  <si>
    <t>}</t>
  </si>
  <si>
    <t>"""</t>
  </si>
  <si>
    <t>system_prompt = """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</si>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</sst>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18" fillId="0" borderId="0" xfId="0" applyFont="1"/>
    <xf numFmtId="9" fontId="18" fillId="33" borderId="0" xfId="42" applyFont="1" applyFill="1"/>
    <xf numFmtId="9" fontId="0" fillId="33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FB6A-997D-9041-9BC7-7929A18BECB4}">
  <dimension ref="A1:O72"/>
  <sheetViews>
    <sheetView tabSelected="1" workbookViewId="0">
      <selection activeCell="Q17" sqref="Q17"/>
    </sheetView>
  </sheetViews>
  <sheetFormatPr baseColWidth="10" defaultRowHeight="16"/>
  <cols>
    <col min="1" max="1" width="9.5" customWidth="1"/>
    <col min="2" max="2" width="9.83203125" customWidth="1"/>
    <col min="3" max="3" width="15.6640625" customWidth="1"/>
    <col min="4" max="4" width="11.1640625" customWidth="1"/>
    <col min="5" max="5" width="11.6640625" customWidth="1"/>
    <col min="6" max="6" width="10.33203125" customWidth="1"/>
  </cols>
  <sheetData>
    <row r="1" spans="1:15" ht="119">
      <c r="A1" t="s">
        <v>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t="s">
        <v>56</v>
      </c>
      <c r="B2" t="s">
        <v>56</v>
      </c>
      <c r="C2" t="s">
        <v>14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15</v>
      </c>
      <c r="L2" t="s">
        <v>56</v>
      </c>
      <c r="M2" t="s">
        <v>56</v>
      </c>
      <c r="N2" t="s">
        <v>56</v>
      </c>
      <c r="O2" t="s">
        <v>56</v>
      </c>
    </row>
    <row r="3" spans="1:15">
      <c r="A3" t="s">
        <v>56</v>
      </c>
      <c r="B3" t="s">
        <v>56</v>
      </c>
      <c r="C3" t="s">
        <v>16</v>
      </c>
      <c r="D3" t="s">
        <v>56</v>
      </c>
      <c r="E3" t="s">
        <v>56</v>
      </c>
      <c r="F3" t="s">
        <v>56</v>
      </c>
      <c r="G3" t="s">
        <v>56</v>
      </c>
      <c r="H3" t="s">
        <v>56</v>
      </c>
      <c r="I3" t="s">
        <v>56</v>
      </c>
      <c r="J3" t="s">
        <v>56</v>
      </c>
      <c r="K3" t="s">
        <v>15</v>
      </c>
      <c r="L3" t="s">
        <v>56</v>
      </c>
      <c r="M3" t="s">
        <v>56</v>
      </c>
      <c r="N3" t="s">
        <v>56</v>
      </c>
      <c r="O3" t="s">
        <v>56</v>
      </c>
    </row>
    <row r="4" spans="1:15">
      <c r="A4" t="s">
        <v>56</v>
      </c>
      <c r="B4" t="s">
        <v>57</v>
      </c>
      <c r="C4" s="2" t="s">
        <v>17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15</v>
      </c>
      <c r="L4" t="s">
        <v>56</v>
      </c>
      <c r="M4" t="s">
        <v>56</v>
      </c>
      <c r="N4" t="s">
        <v>56</v>
      </c>
      <c r="O4" t="s">
        <v>57</v>
      </c>
    </row>
    <row r="5" spans="1:15">
      <c r="A5" t="s">
        <v>56</v>
      </c>
      <c r="B5" t="s">
        <v>56</v>
      </c>
      <c r="C5" t="s">
        <v>18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15</v>
      </c>
      <c r="L5" t="s">
        <v>56</v>
      </c>
      <c r="M5" t="s">
        <v>56</v>
      </c>
      <c r="N5" t="s">
        <v>56</v>
      </c>
      <c r="O5" t="s">
        <v>56</v>
      </c>
    </row>
    <row r="6" spans="1:15">
      <c r="A6" t="s">
        <v>56</v>
      </c>
      <c r="B6" t="s">
        <v>56</v>
      </c>
      <c r="C6" t="s">
        <v>19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15</v>
      </c>
      <c r="L6" t="s">
        <v>56</v>
      </c>
      <c r="M6" t="s">
        <v>56</v>
      </c>
      <c r="N6" t="s">
        <v>56</v>
      </c>
      <c r="O6" t="s">
        <v>57</v>
      </c>
    </row>
    <row r="7" spans="1:15">
      <c r="A7" t="s">
        <v>56</v>
      </c>
      <c r="B7" t="s">
        <v>56</v>
      </c>
      <c r="C7" t="s">
        <v>20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57</v>
      </c>
      <c r="J7" t="s">
        <v>56</v>
      </c>
      <c r="K7" t="s">
        <v>15</v>
      </c>
      <c r="L7" t="s">
        <v>56</v>
      </c>
      <c r="M7" t="s">
        <v>56</v>
      </c>
      <c r="N7" t="s">
        <v>56</v>
      </c>
      <c r="O7" t="s">
        <v>56</v>
      </c>
    </row>
    <row r="8" spans="1:15">
      <c r="A8" t="s">
        <v>56</v>
      </c>
      <c r="B8" t="s">
        <v>56</v>
      </c>
      <c r="C8" t="s">
        <v>21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15</v>
      </c>
      <c r="L8" t="s">
        <v>56</v>
      </c>
      <c r="M8" t="s">
        <v>56</v>
      </c>
      <c r="N8" t="s">
        <v>56</v>
      </c>
      <c r="O8" t="s">
        <v>56</v>
      </c>
    </row>
    <row r="9" spans="1:15">
      <c r="A9" t="s">
        <v>56</v>
      </c>
      <c r="B9" t="s">
        <v>56</v>
      </c>
      <c r="C9" t="s">
        <v>22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15</v>
      </c>
      <c r="L9" t="s">
        <v>56</v>
      </c>
      <c r="M9" t="s">
        <v>56</v>
      </c>
      <c r="N9" t="s">
        <v>56</v>
      </c>
      <c r="O9" t="s">
        <v>56</v>
      </c>
    </row>
    <row r="10" spans="1:15">
      <c r="A10" t="s">
        <v>56</v>
      </c>
      <c r="B10" t="s">
        <v>56</v>
      </c>
      <c r="C10" t="s">
        <v>23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15</v>
      </c>
      <c r="L10" t="s">
        <v>56</v>
      </c>
      <c r="M10" t="s">
        <v>56</v>
      </c>
      <c r="N10" t="s">
        <v>56</v>
      </c>
      <c r="O10" t="s">
        <v>57</v>
      </c>
    </row>
    <row r="11" spans="1:15">
      <c r="A11" t="s">
        <v>56</v>
      </c>
      <c r="B11" t="s">
        <v>57</v>
      </c>
      <c r="C11" s="2" t="s">
        <v>24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15</v>
      </c>
      <c r="L11" t="s">
        <v>56</v>
      </c>
      <c r="M11" t="s">
        <v>56</v>
      </c>
      <c r="N11" t="s">
        <v>56</v>
      </c>
      <c r="O11" t="s">
        <v>57</v>
      </c>
    </row>
    <row r="12" spans="1:15">
      <c r="A12" t="s">
        <v>56</v>
      </c>
      <c r="B12" t="s">
        <v>56</v>
      </c>
      <c r="C12" t="s">
        <v>25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15</v>
      </c>
      <c r="L12" t="s">
        <v>56</v>
      </c>
      <c r="M12" t="s">
        <v>56</v>
      </c>
      <c r="N12" t="s">
        <v>56</v>
      </c>
      <c r="O12" t="s">
        <v>57</v>
      </c>
    </row>
    <row r="13" spans="1:15">
      <c r="A13" t="s">
        <v>56</v>
      </c>
      <c r="B13" t="s">
        <v>56</v>
      </c>
      <c r="C13" t="s">
        <v>26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15</v>
      </c>
      <c r="L13" t="s">
        <v>56</v>
      </c>
      <c r="M13" t="s">
        <v>56</v>
      </c>
      <c r="N13" t="s">
        <v>56</v>
      </c>
      <c r="O13" t="s">
        <v>56</v>
      </c>
    </row>
    <row r="14" spans="1:15">
      <c r="A14" t="s">
        <v>56</v>
      </c>
      <c r="B14" t="s">
        <v>56</v>
      </c>
      <c r="C14" t="s">
        <v>27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15</v>
      </c>
      <c r="L14" t="s">
        <v>56</v>
      </c>
      <c r="M14" t="s">
        <v>56</v>
      </c>
      <c r="N14" t="s">
        <v>56</v>
      </c>
      <c r="O14" t="s">
        <v>57</v>
      </c>
    </row>
    <row r="15" spans="1:15">
      <c r="A15" t="s">
        <v>56</v>
      </c>
      <c r="B15" t="s">
        <v>57</v>
      </c>
      <c r="C15" s="2" t="s">
        <v>28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15</v>
      </c>
      <c r="L15" t="s">
        <v>56</v>
      </c>
      <c r="M15" t="s">
        <v>56</v>
      </c>
      <c r="N15" t="s">
        <v>56</v>
      </c>
      <c r="O15" t="s">
        <v>57</v>
      </c>
    </row>
    <row r="16" spans="1:15">
      <c r="A16" t="s">
        <v>56</v>
      </c>
      <c r="B16" t="s">
        <v>57</v>
      </c>
      <c r="C16" t="s">
        <v>29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15</v>
      </c>
      <c r="L16" t="s">
        <v>56</v>
      </c>
      <c r="M16" t="s">
        <v>56</v>
      </c>
      <c r="N16" t="s">
        <v>57</v>
      </c>
      <c r="O16" t="s">
        <v>57</v>
      </c>
    </row>
    <row r="17" spans="1:15">
      <c r="A17" t="s">
        <v>56</v>
      </c>
      <c r="B17" t="s">
        <v>56</v>
      </c>
      <c r="C17" t="s">
        <v>30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15</v>
      </c>
      <c r="L17" t="s">
        <v>56</v>
      </c>
      <c r="M17" t="s">
        <v>56</v>
      </c>
      <c r="N17" t="s">
        <v>56</v>
      </c>
      <c r="O17" t="s">
        <v>56</v>
      </c>
    </row>
    <row r="18" spans="1:15">
      <c r="A18" t="s">
        <v>56</v>
      </c>
      <c r="B18" t="s">
        <v>56</v>
      </c>
      <c r="C18" t="s">
        <v>31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15</v>
      </c>
      <c r="L18" t="s">
        <v>56</v>
      </c>
      <c r="M18" t="s">
        <v>56</v>
      </c>
      <c r="N18" t="s">
        <v>56</v>
      </c>
      <c r="O18" t="s">
        <v>56</v>
      </c>
    </row>
    <row r="19" spans="1:15">
      <c r="A19" t="s">
        <v>56</v>
      </c>
      <c r="B19" t="s">
        <v>56</v>
      </c>
      <c r="C19" t="s">
        <v>32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15</v>
      </c>
      <c r="L19" t="s">
        <v>56</v>
      </c>
      <c r="M19" t="s">
        <v>56</v>
      </c>
      <c r="N19" t="s">
        <v>56</v>
      </c>
      <c r="O19" t="s">
        <v>57</v>
      </c>
    </row>
    <row r="20" spans="1:15">
      <c r="A20" t="s">
        <v>56</v>
      </c>
      <c r="B20" t="s">
        <v>56</v>
      </c>
      <c r="C20" t="s">
        <v>33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15</v>
      </c>
      <c r="L20" t="s">
        <v>56</v>
      </c>
      <c r="M20" t="s">
        <v>56</v>
      </c>
      <c r="N20" t="s">
        <v>56</v>
      </c>
      <c r="O20" t="s">
        <v>57</v>
      </c>
    </row>
    <row r="21" spans="1:15">
      <c r="A21" t="s">
        <v>56</v>
      </c>
      <c r="B21" t="s">
        <v>56</v>
      </c>
      <c r="C21" t="s">
        <v>34</v>
      </c>
      <c r="D21" t="s">
        <v>56</v>
      </c>
      <c r="E21" t="s">
        <v>56</v>
      </c>
      <c r="F21" t="s">
        <v>56</v>
      </c>
      <c r="G21" t="s">
        <v>56</v>
      </c>
      <c r="H21" t="s">
        <v>56</v>
      </c>
      <c r="I21" t="s">
        <v>56</v>
      </c>
      <c r="J21" t="s">
        <v>56</v>
      </c>
      <c r="K21" t="s">
        <v>15</v>
      </c>
      <c r="L21" t="s">
        <v>56</v>
      </c>
      <c r="M21" t="s">
        <v>56</v>
      </c>
      <c r="N21" t="s">
        <v>56</v>
      </c>
      <c r="O21" t="s">
        <v>56</v>
      </c>
    </row>
    <row r="22" spans="1:15">
      <c r="A22" t="s">
        <v>56</v>
      </c>
      <c r="B22" t="s">
        <v>57</v>
      </c>
      <c r="C22" s="2" t="s">
        <v>35</v>
      </c>
      <c r="D22" t="s">
        <v>56</v>
      </c>
      <c r="E22" t="s">
        <v>56</v>
      </c>
      <c r="F22" t="s">
        <v>56</v>
      </c>
      <c r="G22" t="s">
        <v>56</v>
      </c>
      <c r="H22" t="s">
        <v>56</v>
      </c>
      <c r="I22" t="s">
        <v>56</v>
      </c>
      <c r="J22" t="s">
        <v>56</v>
      </c>
      <c r="K22" t="s">
        <v>15</v>
      </c>
      <c r="L22" t="s">
        <v>56</v>
      </c>
      <c r="M22" t="s">
        <v>56</v>
      </c>
      <c r="N22" t="s">
        <v>56</v>
      </c>
      <c r="O22" t="s">
        <v>57</v>
      </c>
    </row>
    <row r="23" spans="1:15">
      <c r="A23" t="s">
        <v>56</v>
      </c>
      <c r="B23" t="s">
        <v>56</v>
      </c>
      <c r="C23" t="s">
        <v>36</v>
      </c>
      <c r="D23" t="s">
        <v>56</v>
      </c>
      <c r="E23" t="s">
        <v>56</v>
      </c>
      <c r="F23" t="s">
        <v>56</v>
      </c>
      <c r="G23" t="s">
        <v>56</v>
      </c>
      <c r="H23" t="s">
        <v>56</v>
      </c>
      <c r="I23" t="s">
        <v>56</v>
      </c>
      <c r="J23" t="s">
        <v>56</v>
      </c>
      <c r="K23" t="s">
        <v>15</v>
      </c>
      <c r="L23" t="s">
        <v>56</v>
      </c>
      <c r="M23" t="s">
        <v>56</v>
      </c>
      <c r="N23" t="s">
        <v>56</v>
      </c>
      <c r="O23" t="s">
        <v>57</v>
      </c>
    </row>
    <row r="24" spans="1:15">
      <c r="A24" t="s">
        <v>56</v>
      </c>
      <c r="B24" t="s">
        <v>57</v>
      </c>
      <c r="C24" s="2" t="s">
        <v>37</v>
      </c>
      <c r="D24" t="s">
        <v>56</v>
      </c>
      <c r="E24" t="s">
        <v>56</v>
      </c>
      <c r="F24" t="s">
        <v>56</v>
      </c>
      <c r="G24" t="s">
        <v>56</v>
      </c>
      <c r="H24" t="s">
        <v>56</v>
      </c>
      <c r="I24" t="s">
        <v>56</v>
      </c>
      <c r="J24" t="s">
        <v>56</v>
      </c>
      <c r="K24" t="s">
        <v>15</v>
      </c>
      <c r="L24" t="s">
        <v>56</v>
      </c>
      <c r="M24" t="s">
        <v>56</v>
      </c>
      <c r="N24" t="s">
        <v>56</v>
      </c>
      <c r="O24" t="s">
        <v>57</v>
      </c>
    </row>
    <row r="25" spans="1:15">
      <c r="A25" t="s">
        <v>56</v>
      </c>
      <c r="B25" t="s">
        <v>56</v>
      </c>
      <c r="C25" t="s">
        <v>38</v>
      </c>
      <c r="D25" t="s">
        <v>56</v>
      </c>
      <c r="E25" t="s">
        <v>56</v>
      </c>
      <c r="F25" t="s">
        <v>56</v>
      </c>
      <c r="G25" t="s">
        <v>56</v>
      </c>
      <c r="H25" t="s">
        <v>56</v>
      </c>
      <c r="I25" t="s">
        <v>56</v>
      </c>
      <c r="J25" t="s">
        <v>56</v>
      </c>
      <c r="K25" t="s">
        <v>15</v>
      </c>
      <c r="L25" t="s">
        <v>56</v>
      </c>
      <c r="M25" t="s">
        <v>56</v>
      </c>
      <c r="N25" t="s">
        <v>56</v>
      </c>
      <c r="O25" t="s">
        <v>56</v>
      </c>
    </row>
    <row r="26" spans="1:15">
      <c r="A26" t="s">
        <v>56</v>
      </c>
      <c r="B26" t="s">
        <v>57</v>
      </c>
      <c r="C26" t="s">
        <v>39</v>
      </c>
      <c r="D26" t="s">
        <v>56</v>
      </c>
      <c r="E26" t="s">
        <v>56</v>
      </c>
      <c r="F26" t="s">
        <v>56</v>
      </c>
      <c r="G26" t="s">
        <v>56</v>
      </c>
      <c r="H26" t="s">
        <v>57</v>
      </c>
      <c r="I26" t="s">
        <v>57</v>
      </c>
      <c r="J26" t="s">
        <v>57</v>
      </c>
      <c r="K26" t="s">
        <v>15</v>
      </c>
      <c r="L26" t="s">
        <v>56</v>
      </c>
      <c r="M26" t="s">
        <v>56</v>
      </c>
      <c r="N26" t="s">
        <v>57</v>
      </c>
      <c r="O26" t="s">
        <v>57</v>
      </c>
    </row>
    <row r="27" spans="1:15">
      <c r="A27" t="s">
        <v>56</v>
      </c>
      <c r="B27" t="s">
        <v>56</v>
      </c>
      <c r="C27" t="s">
        <v>40</v>
      </c>
      <c r="D27" t="s">
        <v>56</v>
      </c>
      <c r="E27" t="s">
        <v>56</v>
      </c>
      <c r="F27" t="s">
        <v>56</v>
      </c>
      <c r="G27" t="s">
        <v>56</v>
      </c>
      <c r="H27" t="s">
        <v>56</v>
      </c>
      <c r="I27" t="s">
        <v>56</v>
      </c>
      <c r="J27" t="s">
        <v>56</v>
      </c>
      <c r="K27" t="s">
        <v>15</v>
      </c>
      <c r="L27" t="s">
        <v>56</v>
      </c>
      <c r="M27" t="s">
        <v>56</v>
      </c>
      <c r="N27" t="s">
        <v>56</v>
      </c>
      <c r="O27" t="s">
        <v>56</v>
      </c>
    </row>
    <row r="28" spans="1:15">
      <c r="A28" t="s">
        <v>57</v>
      </c>
      <c r="B28" t="s">
        <v>57</v>
      </c>
      <c r="C28" t="s">
        <v>41</v>
      </c>
      <c r="D28" t="s">
        <v>56</v>
      </c>
      <c r="E28" t="s">
        <v>56</v>
      </c>
      <c r="F28" t="s">
        <v>56</v>
      </c>
      <c r="G28" t="s">
        <v>56</v>
      </c>
      <c r="H28" t="s">
        <v>56</v>
      </c>
      <c r="I28" t="s">
        <v>56</v>
      </c>
      <c r="J28" t="s">
        <v>56</v>
      </c>
      <c r="K28" t="s">
        <v>15</v>
      </c>
      <c r="L28" t="s">
        <v>56</v>
      </c>
      <c r="M28" t="s">
        <v>56</v>
      </c>
      <c r="N28" t="s">
        <v>56</v>
      </c>
      <c r="O28" t="s">
        <v>57</v>
      </c>
    </row>
    <row r="29" spans="1:15">
      <c r="A29" t="s">
        <v>57</v>
      </c>
      <c r="B29" t="s">
        <v>56</v>
      </c>
      <c r="C29" t="s">
        <v>42</v>
      </c>
      <c r="D29" t="s">
        <v>56</v>
      </c>
      <c r="E29" t="s">
        <v>56</v>
      </c>
      <c r="F29" t="s">
        <v>56</v>
      </c>
      <c r="G29" t="s">
        <v>56</v>
      </c>
      <c r="H29" t="s">
        <v>56</v>
      </c>
      <c r="I29" t="s">
        <v>56</v>
      </c>
      <c r="J29" t="s">
        <v>56</v>
      </c>
      <c r="K29" t="s">
        <v>15</v>
      </c>
      <c r="L29" t="s">
        <v>56</v>
      </c>
      <c r="M29" t="s">
        <v>56</v>
      </c>
      <c r="N29" t="s">
        <v>56</v>
      </c>
      <c r="O29" t="s">
        <v>56</v>
      </c>
    </row>
    <row r="30" spans="1:15">
      <c r="A30" t="s">
        <v>57</v>
      </c>
      <c r="B30" t="s">
        <v>57</v>
      </c>
      <c r="C30" t="s">
        <v>43</v>
      </c>
      <c r="D30" t="s">
        <v>56</v>
      </c>
      <c r="E30" t="s">
        <v>56</v>
      </c>
      <c r="F30" t="s">
        <v>56</v>
      </c>
      <c r="G30" t="s">
        <v>56</v>
      </c>
      <c r="H30" t="s">
        <v>56</v>
      </c>
      <c r="I30" t="s">
        <v>56</v>
      </c>
      <c r="J30" t="s">
        <v>56</v>
      </c>
      <c r="K30" t="s">
        <v>15</v>
      </c>
      <c r="L30" t="s">
        <v>57</v>
      </c>
      <c r="M30" t="s">
        <v>56</v>
      </c>
      <c r="N30" t="s">
        <v>56</v>
      </c>
      <c r="O30" t="s">
        <v>57</v>
      </c>
    </row>
    <row r="31" spans="1:15">
      <c r="A31" t="s">
        <v>57</v>
      </c>
      <c r="B31" t="s">
        <v>56</v>
      </c>
      <c r="C31" t="s">
        <v>44</v>
      </c>
      <c r="D31" t="s">
        <v>56</v>
      </c>
      <c r="E31" t="s">
        <v>56</v>
      </c>
      <c r="F31" t="s">
        <v>56</v>
      </c>
      <c r="G31" t="s">
        <v>56</v>
      </c>
      <c r="H31" t="s">
        <v>56</v>
      </c>
      <c r="I31" t="s">
        <v>56</v>
      </c>
      <c r="J31" t="s">
        <v>56</v>
      </c>
      <c r="K31" t="s">
        <v>15</v>
      </c>
      <c r="L31" t="s">
        <v>56</v>
      </c>
      <c r="M31" t="s">
        <v>56</v>
      </c>
      <c r="N31" t="s">
        <v>56</v>
      </c>
      <c r="O31" t="s">
        <v>56</v>
      </c>
    </row>
    <row r="32" spans="1:15">
      <c r="A32" t="s">
        <v>57</v>
      </c>
      <c r="B32" t="s">
        <v>56</v>
      </c>
      <c r="C32" t="s">
        <v>45</v>
      </c>
      <c r="D32" t="s">
        <v>56</v>
      </c>
      <c r="E32" t="s">
        <v>56</v>
      </c>
      <c r="F32" t="s">
        <v>57</v>
      </c>
      <c r="G32" t="s">
        <v>56</v>
      </c>
      <c r="H32" t="s">
        <v>56</v>
      </c>
      <c r="I32" t="s">
        <v>56</v>
      </c>
      <c r="J32" t="s">
        <v>56</v>
      </c>
      <c r="K32" t="s">
        <v>15</v>
      </c>
      <c r="L32" t="s">
        <v>56</v>
      </c>
      <c r="M32" t="s">
        <v>56</v>
      </c>
      <c r="N32" t="s">
        <v>56</v>
      </c>
      <c r="O32" t="s">
        <v>56</v>
      </c>
    </row>
    <row r="33" spans="1:15">
      <c r="A33" t="s">
        <v>57</v>
      </c>
      <c r="B33" t="s">
        <v>57</v>
      </c>
      <c r="C33" t="s">
        <v>46</v>
      </c>
      <c r="D33" t="s">
        <v>56</v>
      </c>
      <c r="E33" t="s">
        <v>56</v>
      </c>
      <c r="F33" t="s">
        <v>57</v>
      </c>
      <c r="G33" t="s">
        <v>56</v>
      </c>
      <c r="H33" t="s">
        <v>56</v>
      </c>
      <c r="I33" t="s">
        <v>57</v>
      </c>
      <c r="J33" t="s">
        <v>57</v>
      </c>
      <c r="K33" t="s">
        <v>15</v>
      </c>
      <c r="L33" t="s">
        <v>56</v>
      </c>
      <c r="M33" t="s">
        <v>56</v>
      </c>
      <c r="N33" t="s">
        <v>56</v>
      </c>
      <c r="O33" t="s">
        <v>57</v>
      </c>
    </row>
    <row r="34" spans="1:15">
      <c r="A34" t="s">
        <v>57</v>
      </c>
      <c r="B34" t="s">
        <v>57</v>
      </c>
      <c r="C34" t="s">
        <v>47</v>
      </c>
      <c r="D34" t="s">
        <v>56</v>
      </c>
      <c r="E34" t="s">
        <v>56</v>
      </c>
      <c r="F34" t="s">
        <v>56</v>
      </c>
      <c r="G34" t="s">
        <v>56</v>
      </c>
      <c r="H34" t="s">
        <v>56</v>
      </c>
      <c r="I34" t="s">
        <v>56</v>
      </c>
      <c r="J34" t="s">
        <v>56</v>
      </c>
      <c r="K34" t="s">
        <v>15</v>
      </c>
      <c r="L34" t="s">
        <v>56</v>
      </c>
      <c r="M34" t="s">
        <v>57</v>
      </c>
      <c r="N34" t="s">
        <v>57</v>
      </c>
      <c r="O34" t="s">
        <v>57</v>
      </c>
    </row>
    <row r="35" spans="1:15">
      <c r="A35" t="s">
        <v>57</v>
      </c>
      <c r="B35" t="s">
        <v>56</v>
      </c>
      <c r="C35" t="s">
        <v>48</v>
      </c>
      <c r="D35" t="s">
        <v>56</v>
      </c>
      <c r="E35" t="s">
        <v>56</v>
      </c>
      <c r="F35" t="s">
        <v>56</v>
      </c>
      <c r="G35" t="s">
        <v>56</v>
      </c>
      <c r="H35" t="s">
        <v>56</v>
      </c>
      <c r="I35" t="s">
        <v>56</v>
      </c>
      <c r="J35" t="s">
        <v>56</v>
      </c>
      <c r="K35" t="s">
        <v>15</v>
      </c>
      <c r="L35" t="s">
        <v>56</v>
      </c>
      <c r="M35" t="s">
        <v>56</v>
      </c>
      <c r="N35" t="s">
        <v>56</v>
      </c>
      <c r="O35" t="s">
        <v>56</v>
      </c>
    </row>
    <row r="36" spans="1:15">
      <c r="A36" t="s">
        <v>57</v>
      </c>
      <c r="B36" t="s">
        <v>57</v>
      </c>
      <c r="C36" t="s">
        <v>49</v>
      </c>
      <c r="D36" t="s">
        <v>56</v>
      </c>
      <c r="E36" t="s">
        <v>56</v>
      </c>
      <c r="F36" t="s">
        <v>56</v>
      </c>
      <c r="G36" t="s">
        <v>56</v>
      </c>
      <c r="H36" t="s">
        <v>56</v>
      </c>
      <c r="I36" t="s">
        <v>56</v>
      </c>
      <c r="J36" t="s">
        <v>57</v>
      </c>
      <c r="K36" t="s">
        <v>15</v>
      </c>
      <c r="L36" t="s">
        <v>57</v>
      </c>
      <c r="M36" t="s">
        <v>56</v>
      </c>
      <c r="N36" t="s">
        <v>56</v>
      </c>
      <c r="O36" t="s">
        <v>57</v>
      </c>
    </row>
    <row r="37" spans="1:15">
      <c r="A37" t="s">
        <v>57</v>
      </c>
      <c r="B37" t="s">
        <v>57</v>
      </c>
      <c r="C37" t="s">
        <v>50</v>
      </c>
      <c r="D37" t="s">
        <v>56</v>
      </c>
      <c r="E37" t="s">
        <v>56</v>
      </c>
      <c r="F37" t="s">
        <v>57</v>
      </c>
      <c r="G37" t="s">
        <v>56</v>
      </c>
      <c r="H37" t="s">
        <v>56</v>
      </c>
      <c r="I37" t="s">
        <v>56</v>
      </c>
      <c r="J37" t="s">
        <v>57</v>
      </c>
      <c r="K37" t="s">
        <v>15</v>
      </c>
      <c r="L37" t="s">
        <v>57</v>
      </c>
      <c r="M37" t="s">
        <v>56</v>
      </c>
      <c r="N37" t="s">
        <v>56</v>
      </c>
      <c r="O37" t="s">
        <v>57</v>
      </c>
    </row>
    <row r="38" spans="1:15">
      <c r="A38" t="s">
        <v>57</v>
      </c>
      <c r="B38" t="s">
        <v>57</v>
      </c>
      <c r="C38" t="s">
        <v>51</v>
      </c>
      <c r="D38" t="s">
        <v>56</v>
      </c>
      <c r="E38" t="s">
        <v>56</v>
      </c>
      <c r="F38" t="s">
        <v>56</v>
      </c>
      <c r="G38" t="s">
        <v>56</v>
      </c>
      <c r="H38" t="s">
        <v>56</v>
      </c>
      <c r="I38" t="s">
        <v>56</v>
      </c>
      <c r="J38" t="s">
        <v>56</v>
      </c>
      <c r="K38" t="s">
        <v>15</v>
      </c>
      <c r="L38" t="s">
        <v>56</v>
      </c>
      <c r="M38" t="s">
        <v>57</v>
      </c>
      <c r="N38" t="s">
        <v>57</v>
      </c>
      <c r="O38" t="s">
        <v>57</v>
      </c>
    </row>
    <row r="39" spans="1:15">
      <c r="A39" t="s">
        <v>57</v>
      </c>
      <c r="B39" t="s">
        <v>57</v>
      </c>
      <c r="C39" t="s">
        <v>52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57</v>
      </c>
      <c r="J39" t="s">
        <v>57</v>
      </c>
      <c r="K39" t="s">
        <v>53</v>
      </c>
      <c r="L39" t="s">
        <v>57</v>
      </c>
      <c r="M39" t="s">
        <v>57</v>
      </c>
      <c r="N39" t="s">
        <v>57</v>
      </c>
      <c r="O39" t="s">
        <v>57</v>
      </c>
    </row>
    <row r="40" spans="1:15">
      <c r="A40" t="s">
        <v>57</v>
      </c>
      <c r="B40" t="s">
        <v>57</v>
      </c>
      <c r="C40" t="s">
        <v>54</v>
      </c>
      <c r="D40" t="s">
        <v>56</v>
      </c>
      <c r="E40" t="s">
        <v>56</v>
      </c>
      <c r="F40" t="s">
        <v>56</v>
      </c>
      <c r="G40" t="s">
        <v>56</v>
      </c>
      <c r="H40" t="s">
        <v>56</v>
      </c>
      <c r="I40" t="s">
        <v>56</v>
      </c>
      <c r="J40" t="s">
        <v>56</v>
      </c>
      <c r="K40" t="s">
        <v>15</v>
      </c>
      <c r="L40" t="s">
        <v>56</v>
      </c>
      <c r="M40" t="s">
        <v>56</v>
      </c>
      <c r="N40" t="s">
        <v>56</v>
      </c>
      <c r="O40" t="s">
        <v>57</v>
      </c>
    </row>
    <row r="42" spans="1:15">
      <c r="A42" s="2" t="s">
        <v>84</v>
      </c>
      <c r="B42" s="4" cm="1">
        <f t="array" ref="B42">SUMPRODUCT(--(A2:A40=B2:B40)/COUNTA(B2:B40))</f>
        <v>0.71794871794871828</v>
      </c>
      <c r="C42" s="5" cm="1">
        <f t="array" ref="C42">(SUMPRODUCT(--(A2:A40=B2:B40))+5)/COUNTA(B2:B40)</f>
        <v>0.84615384615384615</v>
      </c>
    </row>
    <row r="43" spans="1:15">
      <c r="B43" s="3"/>
    </row>
    <row r="44" spans="1:15">
      <c r="A44" s="3" t="s">
        <v>83</v>
      </c>
      <c r="B44" s="3"/>
    </row>
    <row r="45" spans="1:15">
      <c r="A45" s="3" t="s">
        <v>58</v>
      </c>
      <c r="B45" s="3"/>
    </row>
    <row r="46" spans="1:15">
      <c r="A46" s="3" t="s">
        <v>59</v>
      </c>
      <c r="B46" s="3"/>
    </row>
    <row r="47" spans="1:15">
      <c r="A47" s="3"/>
      <c r="B47" s="3"/>
    </row>
    <row r="48" spans="1:15">
      <c r="A48" s="3" t="s">
        <v>60</v>
      </c>
      <c r="B48" s="3"/>
    </row>
    <row r="49" spans="1:2">
      <c r="A49" s="3" t="s">
        <v>61</v>
      </c>
      <c r="B49" s="3"/>
    </row>
    <row r="50" spans="1:2">
      <c r="A50" s="3" t="s">
        <v>62</v>
      </c>
      <c r="B50" s="3"/>
    </row>
    <row r="51" spans="1:2">
      <c r="A51" s="3" t="s">
        <v>63</v>
      </c>
      <c r="B51" s="3"/>
    </row>
    <row r="52" spans="1:2">
      <c r="A52" s="3" t="s">
        <v>64</v>
      </c>
      <c r="B52" s="3"/>
    </row>
    <row r="53" spans="1:2">
      <c r="A53" s="3" t="s">
        <v>65</v>
      </c>
      <c r="B53" s="3"/>
    </row>
    <row r="54" spans="1:2">
      <c r="A54" s="3" t="s">
        <v>66</v>
      </c>
      <c r="B54" s="3"/>
    </row>
    <row r="55" spans="1:2">
      <c r="A55" s="3" t="s">
        <v>67</v>
      </c>
      <c r="B55" s="3"/>
    </row>
    <row r="56" spans="1:2">
      <c r="A56" s="3" t="s">
        <v>68</v>
      </c>
      <c r="B56" s="3"/>
    </row>
    <row r="57" spans="1:2">
      <c r="A57" s="3" t="s">
        <v>69</v>
      </c>
      <c r="B57" s="3"/>
    </row>
    <row r="58" spans="1:2">
      <c r="A58" s="3" t="s">
        <v>70</v>
      </c>
      <c r="B58" s="3"/>
    </row>
    <row r="59" spans="1:2">
      <c r="A59" s="3" t="s">
        <v>71</v>
      </c>
      <c r="B59" s="3"/>
    </row>
    <row r="60" spans="1:2">
      <c r="A60" s="3" t="s">
        <v>72</v>
      </c>
      <c r="B60" s="3"/>
    </row>
    <row r="61" spans="1:2">
      <c r="A61" s="3" t="s">
        <v>73</v>
      </c>
      <c r="B61" s="3"/>
    </row>
    <row r="62" spans="1:2">
      <c r="A62" s="3" t="s">
        <v>74</v>
      </c>
      <c r="B62" s="3"/>
    </row>
    <row r="63" spans="1:2">
      <c r="A63" s="3" t="s">
        <v>75</v>
      </c>
      <c r="B63" s="3"/>
    </row>
    <row r="64" spans="1:2">
      <c r="A64" s="3" t="s">
        <v>69</v>
      </c>
      <c r="B64" s="3"/>
    </row>
    <row r="65" spans="1:2">
      <c r="A65" s="3" t="s">
        <v>76</v>
      </c>
      <c r="B65" s="3"/>
    </row>
    <row r="66" spans="1:2">
      <c r="A66" s="3" t="s">
        <v>77</v>
      </c>
      <c r="B66" s="3"/>
    </row>
    <row r="67" spans="1:2">
      <c r="A67" s="3" t="s">
        <v>78</v>
      </c>
      <c r="B67" s="3"/>
    </row>
    <row r="68" spans="1:2">
      <c r="A68" s="3" t="s">
        <v>79</v>
      </c>
      <c r="B68" s="3"/>
    </row>
    <row r="69" spans="1:2">
      <c r="A69" s="3" t="s">
        <v>69</v>
      </c>
      <c r="B69" s="3"/>
    </row>
    <row r="70" spans="1:2">
      <c r="A70" s="3" t="s">
        <v>80</v>
      </c>
      <c r="B70" s="3"/>
    </row>
    <row r="71" spans="1:2">
      <c r="A71" s="3" t="s">
        <v>81</v>
      </c>
    </row>
    <row r="72" spans="1:2">
      <c r="A72" s="3" t="s">
        <v>82</v>
      </c>
    </row>
  </sheetData>
  <conditionalFormatting sqref="A2:B40 A42">
    <cfRule type="cellIs" dxfId="15" priority="9" operator="equal">
      <formula>TRUE</formula>
    </cfRule>
    <cfRule type="cellIs" dxfId="14" priority="10" operator="equal">
      <formula>FALSE</formula>
    </cfRule>
  </conditionalFormatting>
  <conditionalFormatting sqref="D2:G40">
    <cfRule type="cellIs" dxfId="13" priority="15" operator="equal">
      <formula>TRUE</formula>
    </cfRule>
  </conditionalFormatting>
  <conditionalFormatting sqref="D1:J40 F41:L1048576">
    <cfRule type="cellIs" dxfId="12" priority="1" operator="equal">
      <formula>"PASS"</formula>
    </cfRule>
    <cfRule type="cellIs" dxfId="11" priority="2" operator="equal">
      <formula>"FLAG"</formula>
    </cfRule>
  </conditionalFormatting>
  <conditionalFormatting sqref="E2:G40">
    <cfRule type="cellIs" dxfId="10" priority="16" operator="equal">
      <formula>FALSE</formula>
    </cfRule>
  </conditionalFormatting>
  <conditionalFormatting sqref="H2:H40">
    <cfRule type="cellIs" dxfId="9" priority="13" operator="equal">
      <formula>FALSE</formula>
    </cfRule>
    <cfRule type="cellIs" dxfId="8" priority="14" operator="equal">
      <formula>TRUE</formula>
    </cfRule>
  </conditionalFormatting>
  <conditionalFormatting sqref="I2:J40">
    <cfRule type="cellIs" dxfId="7" priority="11" operator="equal">
      <formula>TRUE</formula>
    </cfRule>
    <cfRule type="cellIs" dxfId="6" priority="12" operator="equal">
      <formula>FALSE</formula>
    </cfRule>
  </conditionalFormatting>
  <conditionalFormatting sqref="K2:K40">
    <cfRule type="cellIs" dxfId="5" priority="7" operator="equal">
      <formula>"Inconclusive"</formula>
    </cfRule>
    <cfRule type="cellIs" dxfId="4" priority="8" operator="equal">
      <formula>"Achieved"</formula>
    </cfRule>
  </conditionalFormatting>
  <conditionalFormatting sqref="L1:O40 A1:B41 N41:Q1048576 B42:B70 A71:B1048576 A42">
    <cfRule type="cellIs" dxfId="3" priority="3" operator="equal">
      <formula>"PASS"</formula>
    </cfRule>
    <cfRule type="cellIs" dxfId="2" priority="4" operator="equal">
      <formula>"FLAG"</formula>
    </cfRule>
  </conditionalFormatting>
  <conditionalFormatting sqref="L2:O40">
    <cfRule type="cellIs" dxfId="1" priority="5" operator="equal">
      <formula>TRUE</formula>
    </cfRule>
    <cfRule type="cellIs" dxfId="0" priority="6" operator="equal">
      <formula>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LLaMa_specific_prompt_evaluatio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Peyton Stevenson</dc:creator>
  <cp:lastModifiedBy>Peyton Stevenson</cp:lastModifiedBy>
  <dcterms:created xsi:type="dcterms:W3CDTF">2026-03-09T19:10:47Z</dcterms:created>
  <dcterms:modified xsi:type="dcterms:W3CDTF">2026-03-09T19:34:59Z</dcterms:modified>
</cp:coreProperties>
</file>